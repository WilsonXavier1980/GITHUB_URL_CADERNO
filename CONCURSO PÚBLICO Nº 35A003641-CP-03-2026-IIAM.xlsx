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bookViews>
    <workbookView xWindow="0" yWindow="0" windowWidth="18675" windowHeight="8085"/>
  </bookViews>
  <sheets>
    <sheet name="Nº0016" sheetId="12" r:id="rId1"/>
  </sheets>
  <definedNames>
    <definedName name="_Toc68319419" localSheetId="0">Nº0016!#REF!</definedName>
    <definedName name="_Toc68319420" localSheetId="0">Nº0016!$A$1</definedName>
    <definedName name="_xlnm.Print_Area" localSheetId="0">Nº0016!$A$1:$K$46</definedName>
    <definedName name="_xlnm.Print_Titles" localSheetId="0">Nº0016!$1:$10</definedName>
  </definedNames>
  <calcPr calcId="162913"/>
</workbook>
</file>

<file path=xl/calcChain.xml><?xml version="1.0" encoding="utf-8"?>
<calcChain xmlns="http://schemas.openxmlformats.org/spreadsheetml/2006/main">
  <c r="K38" i="12" l="1"/>
  <c r="J38" i="12"/>
  <c r="I38" i="12"/>
  <c r="I39" i="12"/>
  <c r="J39" i="12" s="1"/>
  <c r="K39" i="12" s="1"/>
  <c r="I30" i="12"/>
  <c r="J30" i="12" s="1"/>
  <c r="K30" i="12" s="1"/>
  <c r="K40" i="12" l="1"/>
  <c r="J40" i="12"/>
  <c r="I40" i="12"/>
  <c r="K37" i="12"/>
  <c r="J37" i="12"/>
  <c r="I37" i="12"/>
  <c r="H34" i="12"/>
  <c r="I34" i="12"/>
  <c r="J34" i="12" s="1"/>
  <c r="K34" i="12" s="1"/>
  <c r="I28" i="12"/>
  <c r="J28" i="12" s="1"/>
  <c r="K28" i="12" s="1"/>
  <c r="K27" i="12"/>
  <c r="I27" i="12"/>
  <c r="J27" i="12" s="1"/>
  <c r="K41" i="12"/>
  <c r="J41" i="12"/>
  <c r="I41" i="12"/>
  <c r="K33" i="12"/>
  <c r="J33" i="12"/>
  <c r="I33" i="12"/>
  <c r="K32" i="12"/>
  <c r="J32" i="12"/>
  <c r="I32" i="12"/>
  <c r="K31" i="12"/>
  <c r="J31" i="12"/>
  <c r="I31" i="12"/>
  <c r="K29" i="12"/>
  <c r="J29" i="12"/>
  <c r="I29" i="12"/>
  <c r="I25" i="12" l="1"/>
  <c r="I26" i="12"/>
  <c r="J26" i="12" s="1"/>
  <c r="K26" i="12" s="1"/>
  <c r="J25" i="12" l="1"/>
  <c r="I43" i="12"/>
  <c r="J43" i="12" s="1"/>
  <c r="I44" i="12"/>
  <c r="I24" i="12"/>
  <c r="I23" i="12"/>
  <c r="I16" i="12"/>
  <c r="K25" i="12" l="1"/>
  <c r="J24" i="12"/>
  <c r="K24" i="12" s="1"/>
  <c r="J44" i="12"/>
  <c r="K44" i="12" s="1"/>
  <c r="J16" i="12"/>
  <c r="K16" i="12" s="1"/>
  <c r="J23" i="12"/>
  <c r="K23" i="12" s="1"/>
  <c r="K43" i="12"/>
  <c r="I12" i="12"/>
  <c r="J12" i="12" s="1"/>
  <c r="I13" i="12"/>
  <c r="J13" i="12" s="1"/>
  <c r="I14" i="12"/>
  <c r="J14" i="12" s="1"/>
  <c r="I15" i="12"/>
  <c r="J15" i="12" s="1"/>
  <c r="I11" i="12"/>
  <c r="J11" i="12" s="1"/>
  <c r="J45" i="12" l="1"/>
  <c r="I45" i="12"/>
  <c r="K13" i="12"/>
  <c r="K12" i="12"/>
  <c r="K15" i="12"/>
  <c r="K14" i="12"/>
  <c r="K11" i="12"/>
  <c r="K45" i="12" l="1"/>
</calcChain>
</file>

<file path=xl/sharedStrings.xml><?xml version="1.0" encoding="utf-8"?>
<sst xmlns="http://schemas.openxmlformats.org/spreadsheetml/2006/main" count="142" uniqueCount="86">
  <si>
    <t>Item</t>
  </si>
  <si>
    <t xml:space="preserve">Descrição dos Bens </t>
  </si>
  <si>
    <t>País de Origem</t>
  </si>
  <si>
    <t>Unidade Física</t>
  </si>
  <si>
    <t>Preço Total s/IVA</t>
  </si>
  <si>
    <t>Preço Total c/IVA</t>
  </si>
  <si>
    <t>QTD</t>
  </si>
  <si>
    <t>UN</t>
  </si>
  <si>
    <t xml:space="preserve">Preço Unitário </t>
  </si>
  <si>
    <t>IVA 16%</t>
  </si>
  <si>
    <t>Refª</t>
  </si>
  <si>
    <t>Tempo De Entrega</t>
  </si>
  <si>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</si>
  <si>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</si>
  <si>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</si>
  <si>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</si>
  <si>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</si>
  <si>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RSA</t>
  </si>
  <si>
    <t>L</t>
  </si>
  <si>
    <t>FORNECIMENTO DE DIVERSO EQUIPAMENTO DE LABORATÓRIO</t>
  </si>
  <si>
    <t>CONCURSO PÚBLICO Nº 35A003641/CP/03/2026</t>
  </si>
  <si>
    <t>HR1200-IIA2-G</t>
  </si>
  <si>
    <t>BSL-2. Switchable airflow 70% recirculation/30% exhaust (A2) and 100% exhaust (B2); one-touch automatic mode change. EC motor; ISO 5 workspace; HEPA 99.99%; negative-pressure plenum. Use: biological samples, hazardous chemicals, cytotoxics and pharma assays. Includes assembly and training.</t>
  </si>
  <si>
    <t>China</t>
  </si>
  <si>
    <t>90 Dias Ùteis</t>
  </si>
  <si>
    <t xml:space="preserve">
LX-210L750R+LX-10L750R fixed-ngle rotor 6×500ml</t>
  </si>
  <si>
    <t>Refrigerated centrifuge for 500 mL bottles(Max speed 22,000 rpm; 21,000rpm
max RCF 52,050 × g; 47,400 × g;capacity 6 × 500 mL; Comply;−20 °C to +40 °C; ±1 °C; Comply;speed accuracy ±10 rpm; Comply,1 s–99 h 59 min 59 s; Comply;noise ≤ 65 dB(A); Comply ≤ 56 dB(A);5,000 W; 3400W;740×720×900 mm; 740*920*990mm
250 kg. 375kg Includes assembly and training.)</t>
  </si>
  <si>
    <t xml:space="preserve">
LX-500R+155T500R fixed-angle rotor 12×15ml
</t>
  </si>
  <si>
    <t>Refrigerated centrifuge for 15 mL tubes(Benchtop, Comply
CFC-free compressor, brushless motor.Comply;≥ 15,000 rpm; Comply;155,500rpmRCF ≥ 20,000 × g; Comply, 26.322xg,−10 °C or lower to +40 °C;  -20～40°C,±2 °C Better, ±1 °C; 
fixed-angle rotor ≥ 12 × 15 mL, anodised aluminium; Comply;LCD/TFT; electronic lid lock; Comply;noise ≤ 65 dB; 220–240 V 50/60 Hz; Comply;CE, ISO 9001 and ISO 13485. Includes assembly and training.Comply)</t>
  </si>
  <si>
    <t>HCP-168</t>
  </si>
  <si>
    <t>CO₂ incubator(Ambient +5 °C to ~60 °C; CO₂ 0–20% (IR sensor); humidity up to ~95%; typical volume 180 L; sterilisation 140 °C (some up to 180 °C); PID + touch screen; HEPA (ISO Class 5); fast )</t>
  </si>
  <si>
    <t>Microhaematocrit centrifuge(Independent speed and time; intuitive menu; brushless DC; pulse. Haematocrit rotor 24 capillaries / 12,000 rpm; tube rotor 1.5/2 mL × 24 / 14,000 rpm; 200–12,000 rpm; max RCF 13,680; 8.5–10.5 kg; 364×280×274 mm. Includes assembly and training.)</t>
  </si>
  <si>
    <t xml:space="preserve">
LX-165T2-J+fixed-angle rotor (Plastic cover)24×1.5/2.0ml +Hematocrit rotor 24 Capillaries
</t>
  </si>
  <si>
    <t xml:space="preserve">
HRLM-60A</t>
  </si>
  <si>
    <t>Vertical benchtop autoclave 50 L(Programmable, electric, stainless steel, with drying. 50 L; 105–134 °C; LCD; fully automatic cycle (preheat, replace, pulse exhaust, heat, sterilise, dry); 0.22 μm air filter. Includes assembly and training.)</t>
  </si>
  <si>
    <t xml:space="preserve">
HRLM-45</t>
  </si>
  <si>
    <t>Vertical laboratory autoclave(Systec DE-45 or equivalent. 45 L nominal; 316L chamber (344×500 mm); up to 140 °C and 4 bar; 220–240 V; microprocessor control; digital documentation options. Includes assembly and training.)</t>
  </si>
  <si>
    <t xml:space="preserve">
DW-86L579</t>
  </si>
  <si>
    <t>Ultra-low freezer (−70 °C)(Vertical laboratory freezer down to −86 °C, settable to −70 °C; ~500 L; stainless interior; microprocessor control; audiovisual alarm; insulated inner doors; high-efficiency refrigeration; vaccines, biologicals and cultures. Includes assembly and training.)</t>
  </si>
  <si>
    <t>CON-TRIPOD</t>
  </si>
  <si>
    <t>Suporte trípode de aço para laboratório (altura 200
mm)</t>
  </si>
  <si>
    <t>30 Dias Úteis</t>
  </si>
  <si>
    <t>IKA C-MAG HS 10 — agitador magnético com aquecimento, placa cerâmica (até 15 l HnO; segurança 550 °C; LED; DIN 12878)</t>
  </si>
  <si>
    <t>IKA C-MAG HS 7 — agitador magnético com aquecimento, placa cerâmica (até 10 l HnO; segurança 550 °C; LED; DIN 12878)</t>
  </si>
  <si>
    <t>MSV-3500&amp;SV-4/30</t>
  </si>
  <si>
    <t>Vortex digital multi-tubos 300–3500 rpm (tubos 0,2–50ml; plataformas não incluídas)&amp;Plataforma SV-4/30 para 4×50 ml (30 mm) — acessório do vortex MSV-3500</t>
  </si>
  <si>
    <t>LTC4R</t>
  </si>
  <si>
    <t>GRANT LTC4R — banho circulante refrigerado/aquecido (TX150-R4R) -30 a +100 °C, 20,l, ±0,1 °C, 18 l/min, 1,84 kW, com mangueiras e clips</t>
  </si>
  <si>
    <t>UK</t>
  </si>
  <si>
    <t>613-7138</t>
  </si>
  <si>
    <t>VWR EHP — micropipeta mecânica monocanal volume variável 1000–10000 μl (autoclavável;resistente a UV)</t>
  </si>
  <si>
    <t>PH800</t>
  </si>
  <si>
    <t>Apera PH800 — kit pH-metro de bancada (calibração 1–3 pontos; monitorização do elétrodo; GLP 500 conjuntos; USB; software PC-Link; elétrodo 201T-FATC)</t>
  </si>
  <si>
    <t xml:space="preserve">SX-50 SpeedFill &amp; Tubo-SIL-3.2 &amp; DY-SIL-3.2 &amp; Tubo-SIL-6.4 &amp; DY-SIL-6.4 &amp; Tubo-SIL-8.0 &amp; DY-SIL-8.0 </t>
  </si>
  <si>
    <t xml:space="preserve"> SX-140-C &amp; CO-5ml</t>
  </si>
  <si>
    <t>Máquina de bancada para fecho automático de frascos (vials), modelo SX-140-C (estação pneumática crimping; AISI-304; rodeta estrela POM; bimanual; até 1.000–1.500 uph; preparada p/ 1 formato frasco 5 ml + 1 formato tampa alu);Kit de changeover (rodeta/peças de adaptação) para
formato adicional de frasco;Serviço — Documentação de validação IQ/OQ (Installation/Operational Qualification — entrega de protocolos)</t>
  </si>
  <si>
    <t>Bomba peristáltica de bancada para enchimento asséptico, modelo SX-50 SpeedFill (cabeça dupla; 0,5–500 ml; ±1%; servomotor; cGMP-US FDA; suporte e bicos de dosagem incluídos);Caixa 15 m de tubo de silicone Ø 3,2 mm (farmacêutico, autoclavável);Conector duplo em Y de silicone Ø 3,2 mm;Caixa 15 m de tubo de silicone Ø 6,4 mm
(farmacêutico, autoclavável);Conector duplo em Y de silicone Ø 6,4 mm;Caixa 15 m de tubo de silicone Ø 8 mm (farmacêutico,
autoclavável);Conector duplo em Y de silicone Ø 8 mm;Serviço — Instalação, arranque e treinamento executados por técnico DARA (1 dia; vias e alojamento incluídos</t>
  </si>
  <si>
    <t>Espanha</t>
  </si>
  <si>
    <t>MIELE PLW 8693 &amp; Basket set Basic &amp; Inserto MIELE E 118 &amp; ProCare Lab 10MA &amp; ProCare Lab 30C</t>
  </si>
  <si>
    <t>Máquina de lavar vidro de laboratório MIELE PLW 8693 com Dry Plus (DSS), caixa em inox; inclui dispensador de líquido e lança de aspiração com deteção de nível vazio;Conjunto de cestos "Basic" p/ PLW 8693: A101 cesto,superior, A150 cesto inferior, módulos injector A300/3 (vidraria 250–1000 ml) e A301/5 (50–250 ml), 2×
AK12/1 e bocal de rinse A802 p/ doseador de pó;Inserto MIELE p/ 38 placas de Petri semi-tampas 100 mm, nível superior,Detergente ProCare Lab 10MA, 5 L;Neutralizador ProCare Lab 30C, 5 L</t>
  </si>
  <si>
    <t>E-CC90-D</t>
  </si>
  <si>
    <t>Contador digital de colónias E-CC90-D, Ø 50–90 mm placa Petri, sensor de pressão/botões com sensibilidade ajustável, LED duplo (faixa + lupa), ampliação 3×/9x</t>
  </si>
  <si>
    <t>630-3290</t>
  </si>
  <si>
    <t>VISISCOPE BL224PL T1(Microscópio digital VISISCOPE BL224PLT1)&amp;Instalação, arranque e treinamentono local por técnico</t>
  </si>
  <si>
    <t>BRAND® 137618</t>
  </si>
  <si>
    <t>Magnetic stirring bar, PTFE, octagonal with pivot ring L 51 mm, bar diam. 8 mm</t>
  </si>
  <si>
    <t>45 Dias Úteis</t>
  </si>
  <si>
    <t>6.1</t>
  </si>
  <si>
    <t>6.2</t>
  </si>
  <si>
    <t>6.3</t>
  </si>
  <si>
    <t>6.4</t>
  </si>
  <si>
    <t>6.5</t>
  </si>
  <si>
    <t>6.6</t>
  </si>
  <si>
    <t>SYSTEM 1 PHARMA PLC</t>
  </si>
  <si>
    <t>1 PHARMA PLC SIEMENS(Sistema automático de rotulagem para produtos cilíndricos: cabeça ENERGY 100, conveyor 2500×142mm, impressora térmica Videojet,DataFlex 6530, controlo OCV/OCR,Cognex IS7800, ispositivo de rotação, expulsor, PLC Siemens S7-1511, CFR21, painel ASEM 8,4"com UPS; manual e interface em português)</t>
  </si>
  <si>
    <t>Kit de peças sobressalentes para o sistema de rotulagem</t>
  </si>
  <si>
    <t>SPARE PARTS KIT</t>
  </si>
  <si>
    <t>CLARISOFT</t>
  </si>
  <si>
    <t>Software Clarisoft para impressora Videojet 6530</t>
  </si>
  <si>
    <t>Italy</t>
  </si>
  <si>
    <t>DISASTER RECOVERY</t>
  </si>
  <si>
    <t>Módulo de recuperação de dados e
configurações do sistema</t>
  </si>
  <si>
    <t>VALIDATION PACKAGE</t>
  </si>
  <si>
    <t>Pacote de validação GAMP5 nível 2 (FDS, P&amp;ID, IQ, OQ, PQ, relatórios FAT/SAT) em inglês</t>
  </si>
  <si>
    <t>TRADUCAO VALIDACAO PT</t>
  </si>
  <si>
    <t>Tradução do pacote de validação de inglês para português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</si>
</sst>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12" xfId="1" applyFont="1" applyBorder="1" applyAlignment="1">
      <alignment wrapText="1"/>
    </xf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3" fillId="0" borderId="18" xfId="1" applyFont="1" applyBorder="1"/>
    <xf numFmtId="164" fontId="3" fillId="0" borderId="11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6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10" fillId="0" borderId="2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2" fillId="0" borderId="10" xfId="0" applyFont="1" applyBorder="1"/>
    <xf numFmtId="0" fontId="12" fillId="0" borderId="0" xfId="0" applyFont="1" applyBorder="1"/>
    <xf numFmtId="0" fontId="13" fillId="0" borderId="10" xfId="2" applyFont="1" applyBorder="1"/>
    <xf numFmtId="0" fontId="12" fillId="0" borderId="10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6" fillId="2" borderId="23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6" fillId="2" borderId="19" xfId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6" fillId="0" borderId="28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6" fillId="2" borderId="19" xfId="0" applyFont="1" applyFill="1" applyBorder="1" applyAlignment="1">
      <alignment horizontal="left" vertical="top" wrapText="1"/>
    </xf>
    <xf numFmtId="0" fontId="0" fillId="2" borderId="27" xfId="0" applyFont="1" applyFill="1" applyBorder="1" applyAlignment="1">
      <alignment horizontal="left" vertical="top" wrapText="1"/>
    </xf>
    <xf numFmtId="166" fontId="3" fillId="0" borderId="13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1"/>
    </xf>
    <xf numFmtId="0" fontId="3" fillId="0" borderId="2" xfId="0" applyFont="1" applyBorder="1" applyAlignment="1">
      <alignment horizontal="left" vertical="top" wrapText="1" indent="1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288290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showGridLines="0" tabSelected="1" zoomScaleNormal="100" workbookViewId="0">
      <pane xSplit="1" ySplit="10" topLeftCell="B18" activePane="bottomRight" state="frozen"/>
      <selection pane="topRight" activeCell="C1" sqref="C1"/>
      <selection pane="bottomLeft" activeCell="A7" sqref="A7"/>
      <selection pane="bottomRight" activeCell="C21" sqref="C21"/>
    </sheetView>
  </sheetViews>
  <sheetFormatPr defaultRowHeight="15" x14ac:dyDescent="0.25"/>
  <cols>
    <col min="1" max="1" width="4.140625" customWidth="1"/>
    <col min="2" max="2" width="19.5703125" style="53" customWidth="1"/>
    <col min="3" max="3" width="47.4257812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5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69" t="s">
        <v>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M1" s="7">
        <v>0.16</v>
      </c>
    </row>
    <row r="2" spans="1:15" ht="39.950000000000003" customHeight="1" thickTop="1" x14ac:dyDescent="0.25">
      <c r="A2" s="70"/>
      <c r="B2" s="71"/>
      <c r="C2" s="71"/>
      <c r="D2" s="71"/>
      <c r="E2" s="71"/>
      <c r="F2" s="71"/>
      <c r="G2" s="71"/>
      <c r="H2" s="60"/>
      <c r="I2" s="73" t="s">
        <v>20</v>
      </c>
      <c r="J2" s="73"/>
      <c r="K2" s="74"/>
      <c r="M2" s="7">
        <v>0.16</v>
      </c>
    </row>
    <row r="3" spans="1:15" ht="24.6" customHeight="1" x14ac:dyDescent="0.25">
      <c r="A3" s="41" t="s">
        <v>12</v>
      </c>
      <c r="B3" s="51"/>
      <c r="C3" s="42"/>
      <c r="D3" s="38"/>
      <c r="E3" s="35"/>
      <c r="F3" s="35"/>
      <c r="G3" s="35"/>
      <c r="H3" s="35"/>
      <c r="I3" s="35"/>
      <c r="J3" s="36"/>
      <c r="K3" s="37"/>
      <c r="M3" s="7"/>
    </row>
    <row r="4" spans="1:15" ht="16.350000000000001" customHeight="1" x14ac:dyDescent="0.25">
      <c r="A4" s="43" t="s">
        <v>13</v>
      </c>
      <c r="B4" s="51"/>
      <c r="C4" s="42"/>
      <c r="D4" s="38"/>
      <c r="E4" s="35"/>
      <c r="F4" s="35"/>
      <c r="G4" s="35"/>
      <c r="H4" s="35"/>
      <c r="I4" s="35"/>
      <c r="J4" s="36"/>
      <c r="K4" s="37"/>
      <c r="M4" s="7"/>
    </row>
    <row r="5" spans="1:15" ht="16.350000000000001" customHeight="1" x14ac:dyDescent="0.25">
      <c r="A5" s="44" t="s">
        <v>14</v>
      </c>
      <c r="B5" s="51"/>
      <c r="C5" s="42"/>
      <c r="D5" s="40"/>
      <c r="E5" s="72"/>
      <c r="F5" s="72"/>
      <c r="G5" s="72"/>
      <c r="H5" s="72"/>
      <c r="I5" s="72"/>
      <c r="J5" s="72"/>
      <c r="K5" s="30"/>
      <c r="O5" s="1"/>
    </row>
    <row r="6" spans="1:15" ht="14.45" customHeight="1" x14ac:dyDescent="0.25">
      <c r="A6" s="41" t="s">
        <v>15</v>
      </c>
      <c r="B6" s="51"/>
      <c r="C6" s="42"/>
      <c r="D6" s="39"/>
      <c r="E6" s="33"/>
      <c r="F6" s="45"/>
      <c r="G6" s="46"/>
      <c r="H6" s="34"/>
      <c r="I6" s="34"/>
      <c r="J6" s="29"/>
      <c r="K6" s="30"/>
      <c r="O6" s="1"/>
    </row>
    <row r="7" spans="1:15" ht="13.35" customHeight="1" x14ac:dyDescent="0.25">
      <c r="A7" s="41" t="s">
        <v>16</v>
      </c>
      <c r="B7" s="51"/>
      <c r="C7" s="42"/>
      <c r="D7" s="39"/>
      <c r="E7" s="33"/>
      <c r="F7" s="45"/>
      <c r="G7" s="46"/>
      <c r="H7" s="34"/>
      <c r="I7" s="34"/>
      <c r="J7" s="29"/>
      <c r="K7" s="30"/>
      <c r="O7" s="1"/>
    </row>
    <row r="8" spans="1:15" ht="20.100000000000001" customHeight="1" thickBot="1" x14ac:dyDescent="0.3">
      <c r="A8" s="65"/>
      <c r="B8" s="66"/>
      <c r="C8" s="66"/>
      <c r="D8" s="66"/>
      <c r="E8" s="32"/>
      <c r="F8" s="14"/>
      <c r="G8" s="14"/>
      <c r="H8" s="67"/>
      <c r="I8" s="67"/>
      <c r="J8" s="67"/>
      <c r="K8" s="68"/>
      <c r="O8" s="2"/>
    </row>
    <row r="9" spans="1:15" s="4" customFormat="1" ht="15.75" customHeight="1" thickTop="1" x14ac:dyDescent="0.25">
      <c r="A9" s="15">
        <v>1</v>
      </c>
      <c r="B9" s="48"/>
      <c r="C9" s="16">
        <v>2</v>
      </c>
      <c r="D9" s="16">
        <v>3</v>
      </c>
      <c r="E9" s="16"/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7">
        <v>9</v>
      </c>
      <c r="L9" s="5"/>
    </row>
    <row r="10" spans="1:15" ht="26.25" thickBot="1" x14ac:dyDescent="0.3">
      <c r="A10" s="20" t="s">
        <v>0</v>
      </c>
      <c r="B10" s="49" t="s">
        <v>10</v>
      </c>
      <c r="C10" s="21" t="s">
        <v>1</v>
      </c>
      <c r="D10" s="21" t="s">
        <v>2</v>
      </c>
      <c r="E10" s="21" t="s">
        <v>11</v>
      </c>
      <c r="F10" s="21" t="s">
        <v>6</v>
      </c>
      <c r="G10" s="21" t="s">
        <v>3</v>
      </c>
      <c r="H10" s="21" t="s">
        <v>8</v>
      </c>
      <c r="I10" s="21" t="s">
        <v>4</v>
      </c>
      <c r="J10" s="21" t="s">
        <v>9</v>
      </c>
      <c r="K10" s="22" t="s">
        <v>5</v>
      </c>
    </row>
    <row r="11" spans="1:15" s="54" customFormat="1" ht="40.5" customHeight="1" x14ac:dyDescent="0.25">
      <c r="A11" s="55">
        <v>1</v>
      </c>
      <c r="B11" s="64" t="s">
        <v>21</v>
      </c>
      <c r="C11" s="63" t="s">
        <v>22</v>
      </c>
      <c r="D11" s="56" t="s">
        <v>23</v>
      </c>
      <c r="E11" s="56" t="s">
        <v>24</v>
      </c>
      <c r="F11" s="56">
        <v>6</v>
      </c>
      <c r="G11" s="56" t="s">
        <v>7</v>
      </c>
      <c r="H11" s="57">
        <v>530327.82999999996</v>
      </c>
      <c r="I11" s="57">
        <f>+H11*F11</f>
        <v>3181966.9799999995</v>
      </c>
      <c r="J11" s="58">
        <f>+I11*16%</f>
        <v>509114.71679999994</v>
      </c>
      <c r="K11" s="59">
        <f>J11+I11</f>
        <v>3691081.6967999996</v>
      </c>
    </row>
    <row r="12" spans="1:15" ht="80.25" customHeight="1" x14ac:dyDescent="0.25">
      <c r="A12" s="28">
        <v>2</v>
      </c>
      <c r="B12" s="61" t="s">
        <v>25</v>
      </c>
      <c r="C12" s="18" t="s">
        <v>26</v>
      </c>
      <c r="D12" s="19" t="s">
        <v>23</v>
      </c>
      <c r="E12" s="19" t="s">
        <v>24</v>
      </c>
      <c r="F12" s="19">
        <v>2</v>
      </c>
      <c r="G12" s="19" t="s">
        <v>7</v>
      </c>
      <c r="H12" s="23">
        <v>1175084.8999999999</v>
      </c>
      <c r="I12" s="23">
        <f t="shared" ref="I12:I44" si="0">+H12*F12</f>
        <v>2350169.7999999998</v>
      </c>
      <c r="J12" s="24">
        <f>16%*I12</f>
        <v>376027.16800000001</v>
      </c>
      <c r="K12" s="25">
        <f>J12+I12</f>
        <v>2726196.9679999999</v>
      </c>
    </row>
    <row r="13" spans="1:15" ht="78.75" x14ac:dyDescent="0.25">
      <c r="A13" s="28">
        <v>3</v>
      </c>
      <c r="B13" s="50" t="s">
        <v>27</v>
      </c>
      <c r="C13" s="18" t="s">
        <v>28</v>
      </c>
      <c r="D13" s="19" t="s">
        <v>23</v>
      </c>
      <c r="E13" s="19" t="s">
        <v>24</v>
      </c>
      <c r="F13" s="19">
        <v>1</v>
      </c>
      <c r="G13" s="19" t="s">
        <v>7</v>
      </c>
      <c r="H13" s="23">
        <v>535360.27</v>
      </c>
      <c r="I13" s="23">
        <f t="shared" si="0"/>
        <v>535360.27</v>
      </c>
      <c r="J13" s="24">
        <f>+I13*16%</f>
        <v>85657.643200000006</v>
      </c>
      <c r="K13" s="25">
        <f t="shared" ref="K13:K44" si="1">J13+I13</f>
        <v>621017.91320000007</v>
      </c>
    </row>
    <row r="14" spans="1:15" ht="236.25" x14ac:dyDescent="0.25">
      <c r="A14" s="28">
        <v>4</v>
      </c>
      <c r="B14" s="50" t="s">
        <v>53</v>
      </c>
      <c r="C14" s="18" t="s">
        <v>56</v>
      </c>
      <c r="D14" s="19" t="s">
        <v>57</v>
      </c>
      <c r="E14" s="19" t="s">
        <v>41</v>
      </c>
      <c r="F14" s="19">
        <v>2</v>
      </c>
      <c r="G14" s="19" t="s">
        <v>7</v>
      </c>
      <c r="H14" s="23">
        <v>2552436.52</v>
      </c>
      <c r="I14" s="23">
        <f t="shared" si="0"/>
        <v>5104873.04</v>
      </c>
      <c r="J14" s="24">
        <f t="shared" ref="J14:J44" si="2">+I14*16%</f>
        <v>816779.68640000001</v>
      </c>
      <c r="K14" s="25">
        <f t="shared" si="1"/>
        <v>5921652.7264</v>
      </c>
    </row>
    <row r="15" spans="1:15" ht="173.25" x14ac:dyDescent="0.25">
      <c r="A15" s="28">
        <v>5</v>
      </c>
      <c r="B15" s="50" t="s">
        <v>54</v>
      </c>
      <c r="C15" s="31" t="s">
        <v>55</v>
      </c>
      <c r="D15" s="19" t="s">
        <v>57</v>
      </c>
      <c r="E15" s="19" t="s">
        <v>41</v>
      </c>
      <c r="F15" s="19">
        <v>2</v>
      </c>
      <c r="G15" s="19" t="s">
        <v>7</v>
      </c>
      <c r="H15" s="23">
        <v>3215928.92</v>
      </c>
      <c r="I15" s="23">
        <f t="shared" si="0"/>
        <v>6431857.8399999999</v>
      </c>
      <c r="J15" s="24">
        <f t="shared" si="2"/>
        <v>1029097.2544</v>
      </c>
      <c r="K15" s="25">
        <f t="shared" si="1"/>
        <v>7460955.0943999998</v>
      </c>
    </row>
    <row r="16" spans="1:15" ht="126" x14ac:dyDescent="0.25">
      <c r="A16" s="28">
        <v>6</v>
      </c>
      <c r="B16" s="50" t="s">
        <v>73</v>
      </c>
      <c r="C16" s="31" t="s">
        <v>74</v>
      </c>
      <c r="D16" s="19"/>
      <c r="E16" s="19"/>
      <c r="F16" s="19">
        <v>1</v>
      </c>
      <c r="G16" s="19"/>
      <c r="H16" s="23">
        <v>21692563.48</v>
      </c>
      <c r="I16" s="23">
        <f t="shared" si="0"/>
        <v>21692563.48</v>
      </c>
      <c r="J16" s="24">
        <f t="shared" si="2"/>
        <v>3470810.1568</v>
      </c>
      <c r="K16" s="25">
        <f t="shared" si="1"/>
        <v>25163373.636799999</v>
      </c>
    </row>
    <row r="17" spans="1:11" ht="31.5" x14ac:dyDescent="0.25">
      <c r="A17" s="28" t="s">
        <v>67</v>
      </c>
      <c r="B17" s="50" t="s">
        <v>76</v>
      </c>
      <c r="C17" s="31" t="s">
        <v>75</v>
      </c>
      <c r="D17" s="19"/>
      <c r="E17" s="19" t="s">
        <v>24</v>
      </c>
      <c r="F17" s="19"/>
      <c r="G17" s="19"/>
      <c r="H17" s="23"/>
      <c r="I17" s="23"/>
      <c r="J17" s="24"/>
      <c r="K17" s="25"/>
    </row>
    <row r="18" spans="1:11" ht="31.5" x14ac:dyDescent="0.25">
      <c r="A18" s="28" t="s">
        <v>68</v>
      </c>
      <c r="B18" s="50" t="s">
        <v>77</v>
      </c>
      <c r="C18" s="31" t="s">
        <v>78</v>
      </c>
      <c r="D18" s="19" t="s">
        <v>79</v>
      </c>
      <c r="E18" s="19"/>
      <c r="F18" s="19"/>
      <c r="G18" s="19"/>
      <c r="H18" s="23"/>
      <c r="I18" s="23"/>
      <c r="J18" s="24"/>
      <c r="K18" s="25"/>
    </row>
    <row r="19" spans="1:11" ht="31.5" x14ac:dyDescent="0.25">
      <c r="A19" s="28" t="s">
        <v>69</v>
      </c>
      <c r="B19" s="50" t="s">
        <v>80</v>
      </c>
      <c r="C19" s="31" t="s">
        <v>81</v>
      </c>
      <c r="D19" s="19"/>
      <c r="E19" s="19"/>
      <c r="F19" s="19"/>
      <c r="G19" s="19"/>
      <c r="H19" s="23"/>
      <c r="I19" s="23"/>
      <c r="J19" s="24"/>
      <c r="K19" s="25"/>
    </row>
    <row r="20" spans="1:11" ht="31.5" x14ac:dyDescent="0.25">
      <c r="A20" s="28" t="s">
        <v>70</v>
      </c>
      <c r="B20" s="50" t="s">
        <v>82</v>
      </c>
      <c r="C20" s="31" t="s">
        <v>83</v>
      </c>
      <c r="D20" s="19"/>
      <c r="E20" s="19"/>
      <c r="F20" s="19"/>
      <c r="G20" s="19"/>
      <c r="H20" s="23"/>
      <c r="I20" s="23"/>
      <c r="J20" s="24"/>
      <c r="K20" s="25"/>
    </row>
    <row r="21" spans="1:11" ht="31.5" x14ac:dyDescent="0.25">
      <c r="A21" s="28" t="s">
        <v>71</v>
      </c>
      <c r="B21" s="50" t="s">
        <v>84</v>
      </c>
      <c r="C21" s="31" t="s">
        <v>85</v>
      </c>
      <c r="D21" s="19"/>
      <c r="E21" s="19"/>
      <c r="F21" s="19"/>
      <c r="G21" s="19"/>
      <c r="H21" s="23"/>
      <c r="I21" s="23"/>
      <c r="J21" s="24"/>
      <c r="K21" s="25"/>
    </row>
    <row r="22" spans="1:11" ht="15.75" x14ac:dyDescent="0.25">
      <c r="A22" s="28" t="s">
        <v>72</v>
      </c>
      <c r="B22" s="50"/>
      <c r="C22" s="31"/>
      <c r="D22" s="19"/>
      <c r="E22" s="19"/>
      <c r="F22" s="19"/>
      <c r="G22" s="19"/>
      <c r="H22" s="23"/>
      <c r="I22" s="23"/>
      <c r="J22" s="24"/>
      <c r="K22" s="25"/>
    </row>
    <row r="23" spans="1:11" ht="15.75" x14ac:dyDescent="0.25">
      <c r="A23" s="28">
        <v>7</v>
      </c>
      <c r="B23" s="50"/>
      <c r="C23" s="31"/>
      <c r="D23" s="19"/>
      <c r="E23" s="19"/>
      <c r="F23" s="19"/>
      <c r="G23" s="19"/>
      <c r="H23" s="23"/>
      <c r="I23" s="23">
        <f t="shared" si="0"/>
        <v>0</v>
      </c>
      <c r="J23" s="24">
        <f t="shared" si="2"/>
        <v>0</v>
      </c>
      <c r="K23" s="25">
        <f t="shared" si="1"/>
        <v>0</v>
      </c>
    </row>
    <row r="24" spans="1:11" ht="63" x14ac:dyDescent="0.25">
      <c r="A24" s="28">
        <v>8</v>
      </c>
      <c r="B24" s="50" t="s">
        <v>58</v>
      </c>
      <c r="C24" s="31" t="s">
        <v>59</v>
      </c>
      <c r="D24" s="19" t="s">
        <v>17</v>
      </c>
      <c r="E24" s="19" t="s">
        <v>41</v>
      </c>
      <c r="F24" s="19">
        <v>1</v>
      </c>
      <c r="G24" s="19" t="s">
        <v>7</v>
      </c>
      <c r="H24" s="23">
        <v>2096104.29</v>
      </c>
      <c r="I24" s="23">
        <f t="shared" si="0"/>
        <v>2096104.29</v>
      </c>
      <c r="J24" s="24">
        <f t="shared" si="2"/>
        <v>335376.68640000001</v>
      </c>
      <c r="K24" s="25">
        <f t="shared" si="1"/>
        <v>2431480.9764</v>
      </c>
    </row>
    <row r="25" spans="1:11" ht="31.5" x14ac:dyDescent="0.25">
      <c r="A25" s="28">
        <v>9</v>
      </c>
      <c r="B25" s="50" t="s">
        <v>39</v>
      </c>
      <c r="C25" s="31" t="s">
        <v>40</v>
      </c>
      <c r="D25" s="19" t="s">
        <v>17</v>
      </c>
      <c r="E25" s="19" t="s">
        <v>41</v>
      </c>
      <c r="F25" s="19">
        <v>3</v>
      </c>
      <c r="G25" s="19" t="s">
        <v>7</v>
      </c>
      <c r="H25" s="23">
        <v>1405.35</v>
      </c>
      <c r="I25" s="23">
        <f t="shared" si="0"/>
        <v>4216.0499999999993</v>
      </c>
      <c r="J25" s="24">
        <f t="shared" si="2"/>
        <v>674.56799999999987</v>
      </c>
      <c r="K25" s="25">
        <f>+J25+I25</f>
        <v>4890.6179999999995</v>
      </c>
    </row>
    <row r="26" spans="1:11" ht="31.5" x14ac:dyDescent="0.25">
      <c r="A26" s="28">
        <v>10</v>
      </c>
      <c r="B26" s="50">
        <v>4240400</v>
      </c>
      <c r="C26" s="31" t="s">
        <v>42</v>
      </c>
      <c r="D26" s="19" t="s">
        <v>17</v>
      </c>
      <c r="E26" s="19" t="s">
        <v>41</v>
      </c>
      <c r="F26" s="19">
        <v>2</v>
      </c>
      <c r="G26" s="19" t="s">
        <v>7</v>
      </c>
      <c r="H26" s="23">
        <v>330997.17</v>
      </c>
      <c r="I26" s="23">
        <f>+H26*F26</f>
        <v>661994.34</v>
      </c>
      <c r="J26" s="24">
        <f t="shared" si="2"/>
        <v>105919.0944</v>
      </c>
      <c r="K26" s="25">
        <f>+J26+I26</f>
        <v>767913.43439999991</v>
      </c>
    </row>
    <row r="27" spans="1:11" ht="47.25" x14ac:dyDescent="0.25">
      <c r="A27" s="28">
        <v>11</v>
      </c>
      <c r="B27" s="50">
        <v>3581200</v>
      </c>
      <c r="C27" s="31" t="s">
        <v>43</v>
      </c>
      <c r="D27" s="19" t="s">
        <v>17</v>
      </c>
      <c r="E27" s="19" t="s">
        <v>66</v>
      </c>
      <c r="F27" s="19">
        <v>1</v>
      </c>
      <c r="G27" s="19" t="s">
        <v>7</v>
      </c>
      <c r="H27" s="23">
        <v>208177.84</v>
      </c>
      <c r="I27" s="23">
        <f>+F27*H27</f>
        <v>208177.84</v>
      </c>
      <c r="J27" s="24">
        <f t="shared" si="2"/>
        <v>33308.454400000002</v>
      </c>
      <c r="K27" s="25">
        <f>+J27+I27</f>
        <v>241486.29440000001</v>
      </c>
    </row>
    <row r="28" spans="1:11" ht="31.5" x14ac:dyDescent="0.25">
      <c r="A28" s="28">
        <v>12</v>
      </c>
      <c r="B28" s="50" t="s">
        <v>64</v>
      </c>
      <c r="C28" s="31" t="s">
        <v>65</v>
      </c>
      <c r="D28" s="19" t="s">
        <v>17</v>
      </c>
      <c r="E28" s="19" t="s">
        <v>66</v>
      </c>
      <c r="F28" s="19">
        <v>5</v>
      </c>
      <c r="G28" s="19"/>
      <c r="H28" s="23">
        <v>36898</v>
      </c>
      <c r="I28" s="23">
        <f>+F28*H28</f>
        <v>184490</v>
      </c>
      <c r="J28" s="24">
        <f>16%*I28</f>
        <v>29518.400000000001</v>
      </c>
      <c r="K28" s="25">
        <f>+J28+I28</f>
        <v>214008.4</v>
      </c>
    </row>
    <row r="29" spans="1:11" ht="31.5" x14ac:dyDescent="0.25">
      <c r="A29" s="28">
        <v>13</v>
      </c>
      <c r="B29" s="50" t="s">
        <v>29</v>
      </c>
      <c r="C29" s="31" t="s">
        <v>30</v>
      </c>
      <c r="D29" s="19" t="s">
        <v>23</v>
      </c>
      <c r="E29" s="19" t="s">
        <v>24</v>
      </c>
      <c r="F29" s="19">
        <v>1</v>
      </c>
      <c r="G29" s="19" t="s">
        <v>7</v>
      </c>
      <c r="H29" s="23">
        <v>528387.61</v>
      </c>
      <c r="I29" s="23">
        <f>+H29*F29</f>
        <v>528387.61</v>
      </c>
      <c r="J29" s="24">
        <f>+I29*16%</f>
        <v>84542.017600000006</v>
      </c>
      <c r="K29" s="25">
        <f>+I29+J29</f>
        <v>612929.62760000001</v>
      </c>
    </row>
    <row r="30" spans="1:11" ht="47.25" x14ac:dyDescent="0.25">
      <c r="A30" s="28">
        <v>14</v>
      </c>
      <c r="B30" s="50" t="s">
        <v>62</v>
      </c>
      <c r="C30" s="31" t="s">
        <v>63</v>
      </c>
      <c r="D30" s="19" t="s">
        <v>17</v>
      </c>
      <c r="E30" s="19" t="s">
        <v>41</v>
      </c>
      <c r="F30" s="19">
        <v>1</v>
      </c>
      <c r="G30" s="19" t="s">
        <v>7</v>
      </c>
      <c r="H30" s="23">
        <v>329412.46000000002</v>
      </c>
      <c r="I30" s="23">
        <f>+H30*F30</f>
        <v>329412.46000000002</v>
      </c>
      <c r="J30" s="24">
        <f>16%*I30</f>
        <v>52705.993600000002</v>
      </c>
      <c r="K30" s="25">
        <f>+I30+J30</f>
        <v>382118.45360000001</v>
      </c>
    </row>
    <row r="31" spans="1:11" ht="32.25" customHeight="1" x14ac:dyDescent="0.25">
      <c r="A31" s="28">
        <v>15</v>
      </c>
      <c r="B31" s="61" t="s">
        <v>32</v>
      </c>
      <c r="C31" s="62" t="s">
        <v>31</v>
      </c>
      <c r="D31" s="19" t="s">
        <v>23</v>
      </c>
      <c r="E31" s="19" t="s">
        <v>24</v>
      </c>
      <c r="F31" s="19">
        <v>1</v>
      </c>
      <c r="G31" s="19" t="s">
        <v>7</v>
      </c>
      <c r="H31" s="23">
        <v>150105.93</v>
      </c>
      <c r="I31" s="23">
        <f>+H31*F31</f>
        <v>150105.93</v>
      </c>
      <c r="J31" s="24">
        <f>16%*I31</f>
        <v>24016.948799999998</v>
      </c>
      <c r="K31" s="25">
        <f>+J31+I31</f>
        <v>174122.87880000001</v>
      </c>
    </row>
    <row r="32" spans="1:11" ht="31.5" x14ac:dyDescent="0.25">
      <c r="A32" s="28">
        <v>16</v>
      </c>
      <c r="B32" s="50" t="s">
        <v>33</v>
      </c>
      <c r="C32" s="31" t="s">
        <v>34</v>
      </c>
      <c r="D32" s="19" t="s">
        <v>23</v>
      </c>
      <c r="E32" s="19" t="s">
        <v>24</v>
      </c>
      <c r="F32" s="19">
        <v>1</v>
      </c>
      <c r="G32" s="19" t="s">
        <v>7</v>
      </c>
      <c r="H32" s="23">
        <v>430249.95</v>
      </c>
      <c r="I32" s="23">
        <f>+H32*F32</f>
        <v>430249.95</v>
      </c>
      <c r="J32" s="24">
        <f>16%*I32</f>
        <v>68839.991999999998</v>
      </c>
      <c r="K32" s="25">
        <f>+J32+I32</f>
        <v>499089.94200000004</v>
      </c>
    </row>
    <row r="33" spans="1:11" ht="31.5" x14ac:dyDescent="0.25">
      <c r="A33" s="28">
        <v>17</v>
      </c>
      <c r="B33" s="50" t="s">
        <v>35</v>
      </c>
      <c r="C33" s="31" t="s">
        <v>36</v>
      </c>
      <c r="D33" s="19" t="s">
        <v>23</v>
      </c>
      <c r="E33" s="19" t="s">
        <v>24</v>
      </c>
      <c r="F33" s="19">
        <v>1</v>
      </c>
      <c r="G33" s="19" t="s">
        <v>7</v>
      </c>
      <c r="H33" s="23">
        <v>419942.28</v>
      </c>
      <c r="I33" s="23">
        <f>+F33*H33</f>
        <v>419942.28</v>
      </c>
      <c r="J33" s="24">
        <f>16%*I33</f>
        <v>67190.764800000004</v>
      </c>
      <c r="K33" s="25">
        <f>+I33+J33</f>
        <v>487133.04480000003</v>
      </c>
    </row>
    <row r="34" spans="1:11" ht="31.5" x14ac:dyDescent="0.25">
      <c r="A34" s="28">
        <v>18</v>
      </c>
      <c r="B34" s="50" t="s">
        <v>44</v>
      </c>
      <c r="C34" s="31" t="s">
        <v>45</v>
      </c>
      <c r="D34" s="19" t="s">
        <v>17</v>
      </c>
      <c r="E34" s="19" t="s">
        <v>41</v>
      </c>
      <c r="F34" s="19">
        <v>1</v>
      </c>
      <c r="G34" s="19" t="s">
        <v>7</v>
      </c>
      <c r="H34" s="23">
        <f>12937.34+140540.23</f>
        <v>153477.57</v>
      </c>
      <c r="I34" s="23">
        <f>+F34*H34</f>
        <v>153477.57</v>
      </c>
      <c r="J34" s="24">
        <f>16%*I34</f>
        <v>24556.411200000002</v>
      </c>
      <c r="K34" s="25">
        <f>+J34+I34</f>
        <v>178033.98120000001</v>
      </c>
    </row>
    <row r="35" spans="1:11" ht="15.75" x14ac:dyDescent="0.25">
      <c r="A35" s="28">
        <v>19</v>
      </c>
      <c r="B35" s="50"/>
      <c r="C35" s="31"/>
      <c r="D35" s="19"/>
      <c r="E35" s="19"/>
      <c r="F35" s="19"/>
      <c r="G35" s="19"/>
      <c r="H35" s="23"/>
      <c r="I35" s="23"/>
      <c r="J35" s="24"/>
      <c r="K35" s="25"/>
    </row>
    <row r="36" spans="1:11" ht="15.75" x14ac:dyDescent="0.25">
      <c r="A36" s="28">
        <v>20</v>
      </c>
      <c r="B36" s="50"/>
      <c r="C36" s="31"/>
      <c r="D36" s="19"/>
      <c r="E36" s="19"/>
      <c r="F36" s="19"/>
      <c r="G36" s="19"/>
      <c r="H36" s="23"/>
      <c r="I36" s="23"/>
      <c r="J36" s="24"/>
      <c r="K36" s="25"/>
    </row>
    <row r="37" spans="1:11" ht="31.5" x14ac:dyDescent="0.25">
      <c r="A37" s="28">
        <v>21</v>
      </c>
      <c r="B37" s="50" t="s">
        <v>46</v>
      </c>
      <c r="C37" s="31" t="s">
        <v>47</v>
      </c>
      <c r="D37" s="19" t="s">
        <v>48</v>
      </c>
      <c r="E37" s="19" t="s">
        <v>41</v>
      </c>
      <c r="F37" s="19">
        <v>1</v>
      </c>
      <c r="G37" s="19" t="s">
        <v>7</v>
      </c>
      <c r="H37" s="23">
        <v>2086383.32</v>
      </c>
      <c r="I37" s="23">
        <f>+H37*F37</f>
        <v>2086383.32</v>
      </c>
      <c r="J37" s="24">
        <f>16%*I37</f>
        <v>333821.33120000002</v>
      </c>
      <c r="K37" s="25">
        <f>+J37+I37</f>
        <v>2420204.6512000002</v>
      </c>
    </row>
    <row r="38" spans="1:11" ht="31.5" x14ac:dyDescent="0.25">
      <c r="A38" s="28">
        <v>22</v>
      </c>
      <c r="B38" s="50" t="s">
        <v>60</v>
      </c>
      <c r="C38" s="31" t="s">
        <v>61</v>
      </c>
      <c r="D38" s="19" t="s">
        <v>17</v>
      </c>
      <c r="E38" s="19" t="s">
        <v>41</v>
      </c>
      <c r="F38" s="19">
        <v>3</v>
      </c>
      <c r="G38" s="19" t="s">
        <v>7</v>
      </c>
      <c r="H38" s="23">
        <v>48415.67</v>
      </c>
      <c r="I38" s="23">
        <f>+F38*H38</f>
        <v>145247.01</v>
      </c>
      <c r="J38" s="24">
        <f>16%*I38</f>
        <v>23239.521600000004</v>
      </c>
      <c r="K38" s="25">
        <f>+J38+I38</f>
        <v>168486.53160000002</v>
      </c>
    </row>
    <row r="39" spans="1:11" ht="31.5" x14ac:dyDescent="0.25">
      <c r="A39" s="28">
        <v>23</v>
      </c>
      <c r="B39" s="50"/>
      <c r="C39" s="31"/>
      <c r="D39" s="19" t="s">
        <v>17</v>
      </c>
      <c r="E39" s="19" t="s">
        <v>41</v>
      </c>
      <c r="F39" s="19"/>
      <c r="G39" s="19"/>
      <c r="H39" s="23"/>
      <c r="I39" s="23">
        <f>+H39*F39</f>
        <v>0</v>
      </c>
      <c r="J39" s="24">
        <f>16%*I39</f>
        <v>0</v>
      </c>
      <c r="K39" s="25">
        <f>+J39+I39</f>
        <v>0</v>
      </c>
    </row>
    <row r="40" spans="1:11" ht="31.5" x14ac:dyDescent="0.25">
      <c r="A40" s="28">
        <v>24</v>
      </c>
      <c r="B40" s="50" t="s">
        <v>51</v>
      </c>
      <c r="C40" s="31" t="s">
        <v>52</v>
      </c>
      <c r="D40" s="19" t="s">
        <v>17</v>
      </c>
      <c r="E40" s="19" t="s">
        <v>41</v>
      </c>
      <c r="F40" s="19">
        <v>10</v>
      </c>
      <c r="G40" s="19" t="s">
        <v>7</v>
      </c>
      <c r="H40" s="23">
        <v>76248.05</v>
      </c>
      <c r="I40" s="23">
        <f>+H40*F40</f>
        <v>762480.5</v>
      </c>
      <c r="J40" s="24">
        <f>16%*I40</f>
        <v>121996.88</v>
      </c>
      <c r="K40" s="25">
        <f>+I40+J40</f>
        <v>884477.38</v>
      </c>
    </row>
    <row r="41" spans="1:11" ht="31.5" x14ac:dyDescent="0.25">
      <c r="A41" s="28">
        <v>25</v>
      </c>
      <c r="B41" s="50" t="s">
        <v>37</v>
      </c>
      <c r="C41" s="31" t="s">
        <v>38</v>
      </c>
      <c r="D41" s="19" t="s">
        <v>23</v>
      </c>
      <c r="E41" s="19" t="s">
        <v>24</v>
      </c>
      <c r="F41" s="19">
        <v>2</v>
      </c>
      <c r="G41" s="19" t="s">
        <v>7</v>
      </c>
      <c r="H41" s="23">
        <v>679682.78</v>
      </c>
      <c r="I41" s="23">
        <f>+H41*F41</f>
        <v>1359365.56</v>
      </c>
      <c r="J41" s="24">
        <f>16%*I41</f>
        <v>217498.4896</v>
      </c>
      <c r="K41" s="25">
        <f>+J41+I41</f>
        <v>1576864.0496</v>
      </c>
    </row>
    <row r="42" spans="1:11" ht="15.75" x14ac:dyDescent="0.25">
      <c r="A42" s="28">
        <v>26</v>
      </c>
      <c r="B42" s="50"/>
      <c r="C42" s="31"/>
      <c r="D42" s="19"/>
      <c r="E42" s="19"/>
      <c r="F42" s="19"/>
      <c r="G42" s="19"/>
      <c r="H42" s="23"/>
      <c r="I42" s="23"/>
      <c r="J42" s="24"/>
      <c r="K42" s="25"/>
    </row>
    <row r="43" spans="1:11" ht="31.5" x14ac:dyDescent="0.25">
      <c r="A43" s="28">
        <v>27</v>
      </c>
      <c r="B43" s="50" t="s">
        <v>49</v>
      </c>
      <c r="C43" s="31" t="s">
        <v>50</v>
      </c>
      <c r="D43" s="19" t="s">
        <v>17</v>
      </c>
      <c r="E43" s="19" t="s">
        <v>41</v>
      </c>
      <c r="F43" s="19">
        <v>20</v>
      </c>
      <c r="G43" s="19" t="s">
        <v>18</v>
      </c>
      <c r="H43" s="23">
        <v>42825.09</v>
      </c>
      <c r="I43" s="23">
        <f t="shared" si="0"/>
        <v>856501.79999999993</v>
      </c>
      <c r="J43" s="24">
        <f t="shared" si="2"/>
        <v>137040.288</v>
      </c>
      <c r="K43" s="25">
        <f t="shared" si="1"/>
        <v>993542.08799999999</v>
      </c>
    </row>
    <row r="44" spans="1:11" ht="16.5" thickBot="1" x14ac:dyDescent="0.3">
      <c r="A44" s="28">
        <v>28</v>
      </c>
      <c r="B44" s="50"/>
      <c r="C44" s="31"/>
      <c r="D44" s="19"/>
      <c r="E44" s="19"/>
      <c r="F44" s="19"/>
      <c r="G44" s="19"/>
      <c r="H44" s="23"/>
      <c r="I44" s="23">
        <f t="shared" si="0"/>
        <v>0</v>
      </c>
      <c r="J44" s="24">
        <f t="shared" si="2"/>
        <v>0</v>
      </c>
      <c r="K44" s="25">
        <f t="shared" si="1"/>
        <v>0</v>
      </c>
    </row>
    <row r="45" spans="1:11" ht="17.25" thickTop="1" thickBot="1" x14ac:dyDescent="0.3">
      <c r="A45" s="12"/>
      <c r="B45" s="47"/>
      <c r="C45" s="12"/>
      <c r="D45" s="12"/>
      <c r="E45" s="12"/>
      <c r="F45" s="12"/>
      <c r="G45" s="12"/>
      <c r="H45" s="13"/>
      <c r="I45" s="11">
        <f>SUM(I11:I44)</f>
        <v>49673327.920000002</v>
      </c>
      <c r="J45" s="6">
        <f>SUM(J11:J44)</f>
        <v>7947732.4671999989</v>
      </c>
      <c r="K45" s="10">
        <f>SUM(K11:K44)</f>
        <v>57621060.387199998</v>
      </c>
    </row>
    <row r="46" spans="1:11" ht="22.5" customHeight="1" thickTop="1" x14ac:dyDescent="0.25">
      <c r="A46" s="3"/>
      <c r="B46" s="52"/>
      <c r="C46" s="3"/>
      <c r="D46" s="3"/>
      <c r="E46" s="3"/>
      <c r="F46" s="3"/>
      <c r="G46" s="3"/>
      <c r="H46" s="3"/>
      <c r="I46" s="3"/>
      <c r="J46" s="3"/>
      <c r="K46" s="9"/>
    </row>
    <row r="47" spans="1:11" x14ac:dyDescent="0.25">
      <c r="C47" s="26"/>
      <c r="J47" s="8"/>
    </row>
    <row r="48" spans="1:11" x14ac:dyDescent="0.25">
      <c r="I48" s="8"/>
      <c r="K48" s="8"/>
    </row>
    <row r="53" spans="3:3" x14ac:dyDescent="0.25">
      <c r="C53" s="27"/>
    </row>
  </sheetData>
  <mergeCells count="6">
    <mergeCell ref="A8:D8"/>
    <mergeCell ref="H8:K8"/>
    <mergeCell ref="A1:K1"/>
    <mergeCell ref="A2:G2"/>
    <mergeCell ref="E5:J5"/>
    <mergeCell ref="I2:K2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Nº0016</vt:lpstr>
      <vt:lpstr>Nº0016!_Toc68319420</vt:lpstr>
      <vt:lpstr>Nº0016!Print_Area</vt:lpstr>
      <vt:lpstr>Nº0016!Print_Titles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2026-09-23T18:33:12Z</dcterms:modified>
</cp:coreProperties>
</file>