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n\Downloads\"/>
    </mc:Choice>
  </mc:AlternateContent>
  <bookViews>
    <workbookView xWindow="0" yWindow="0" windowWidth="18675" windowHeight="8085"/>
  </bookViews>
  <sheets>
    <sheet name="NºCL12" sheetId="16" r:id="rId1"/>
  </sheets>
  <definedNames>
    <definedName name="_Toc68319419" localSheetId="0">NºCL12!#REF!</definedName>
    <definedName name="_Toc68319420" localSheetId="0">NºCL12!$A$1</definedName>
    <definedName name="_xlnm.Print_Area" localSheetId="0">NºCL12!$A$1:$K$17</definedName>
    <definedName name="_xlnm.Print_Titles" localSheetId="0">NºCL12!$1:$10</definedName>
  </definedNames>
  <calcPr calcId="162913"/>
</workbook>
</file>

<file path=xl/calcChain.xml><?xml version="1.0" encoding="utf-8"?>
<calcChain xmlns="http://schemas.openxmlformats.org/spreadsheetml/2006/main">
  <c r="J15" i="16" l="1"/>
  <c r="J14" i="16"/>
  <c r="K13" i="16"/>
  <c r="J13" i="16"/>
  <c r="J12" i="16"/>
  <c r="J11" i="16"/>
  <c r="I13" i="16"/>
  <c r="I15" i="16" l="1"/>
  <c r="K15" i="16" s="1"/>
  <c r="I14" i="16"/>
  <c r="K14" i="16" s="1"/>
  <c r="I12" i="16"/>
  <c r="K12" i="16" s="1"/>
  <c r="I11" i="16"/>
  <c r="I16" i="16" l="1"/>
  <c r="J16" i="16" l="1"/>
  <c r="K11" i="16"/>
  <c r="K16" i="16" s="1"/>
</calcChain>
</file>

<file path=xl/sharedStrings.xml><?xml version="1.0" encoding="utf-8"?>
<sst xmlns="http://schemas.openxmlformats.org/spreadsheetml/2006/main" count="44" uniqueCount="32">
  <si>
    <t>Item</t>
  </si>
  <si>
    <t xml:space="preserve">Descrição dos Bens </t>
  </si>
  <si>
    <t>País de Origem</t>
  </si>
  <si>
    <t>Unidade Física</t>
  </si>
  <si>
    <t>Preço Total s/IVA</t>
  </si>
  <si>
    <t>Preço Total c/IVA</t>
  </si>
  <si>
    <t>QTD</t>
  </si>
  <si>
    <t>UN</t>
  </si>
  <si>
    <t xml:space="preserve">Preço Unitário </t>
  </si>
  <si>
    <t>IVA 16%</t>
  </si>
  <si>
    <t>Refª</t>
  </si>
  <si>
    <t>Tempo De Entrega</t>
  </si>
  <si>
    <t>Endereço: Rua da França, N°273, Bairro da Coop</t>
  </si>
  <si>
    <t>Email: info@infinityhealth.co.mz</t>
  </si>
  <si>
    <t>Telef: +258 86 226 0072</t>
  </si>
  <si>
    <t>NUIT 401550216</t>
  </si>
  <si>
    <t>Maputo - Moçambique</t>
  </si>
  <si>
    <t>USA</t>
  </si>
  <si>
    <t>CR58L007153/CL/12/Fundos Externos/UGEA/2026</t>
  </si>
  <si>
    <t>Aquisição de material clínico</t>
  </si>
  <si>
    <t>Lote 4: Aquisição de consumiveis clínicos ginecologicos</t>
  </si>
  <si>
    <t>0.28042</t>
  </si>
  <si>
    <t>Eléctrodo descartável de bola 5 mm (embalagem de 5)</t>
  </si>
  <si>
    <t>30 Dias Úteis</t>
  </si>
  <si>
    <t>0.28070</t>
  </si>
  <si>
    <t>Eléctrodo descartável de ansa 10 ×7 mm(embalagem de 5)</t>
  </si>
  <si>
    <t>0.28071</t>
  </si>
  <si>
    <t>Eléctrodo descartável de ansa 10 ×8 mm(embalagem de 5)</t>
  </si>
  <si>
    <t>0.28058</t>
  </si>
  <si>
    <t>Eléctrodo descartável de ansa 15 ×8 mm(embalagem de 5)</t>
  </si>
  <si>
    <t>0.28061</t>
  </si>
  <si>
    <t>Eléctrodo descartável de ansa 20 ×12mm(embalagem de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</si>
</sst>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dd\-mm\-yy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ova Light"/>
      <family val="2"/>
    </font>
    <font>
      <b/>
      <u/>
      <sz val="11"/>
      <color theme="10"/>
      <name val="Arial Nova Light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5"/>
    </xf>
    <xf numFmtId="0" fontId="3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9" fontId="0" fillId="0" borderId="0" xfId="0" applyNumberFormat="1"/>
    <xf numFmtId="165" fontId="0" fillId="0" borderId="0" xfId="0" applyNumberFormat="1"/>
    <xf numFmtId="164" fontId="0" fillId="0" borderId="0" xfId="0" applyNumberFormat="1"/>
    <xf numFmtId="164" fontId="3" fillId="0" borderId="18" xfId="1" applyFont="1" applyBorder="1"/>
    <xf numFmtId="164" fontId="3" fillId="0" borderId="11" xfId="1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64" fontId="6" fillId="0" borderId="21" xfId="1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justify"/>
    </xf>
    <xf numFmtId="0" fontId="6" fillId="0" borderId="24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vertical="top" wrapText="1"/>
    </xf>
    <xf numFmtId="0" fontId="10" fillId="0" borderId="2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0" fontId="12" fillId="0" borderId="10" xfId="0" applyFont="1" applyBorder="1"/>
    <xf numFmtId="0" fontId="12" fillId="0" borderId="0" xfId="0" applyFont="1" applyBorder="1"/>
    <xf numFmtId="0" fontId="13" fillId="0" borderId="10" xfId="2" applyFont="1" applyBorder="1"/>
    <xf numFmtId="0" fontId="12" fillId="0" borderId="10" xfId="0" applyFont="1" applyBorder="1" applyAlignment="1">
      <alignment horizontal="left"/>
    </xf>
    <xf numFmtId="0" fontId="6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center" wrapText="1"/>
    </xf>
    <xf numFmtId="0" fontId="8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6" fillId="2" borderId="23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center" vertical="center" wrapText="1"/>
    </xf>
    <xf numFmtId="164" fontId="6" fillId="2" borderId="19" xfId="1" applyFont="1" applyFill="1" applyBorder="1" applyAlignment="1">
      <alignment horizontal="center" vertical="center" wrapText="1"/>
    </xf>
    <xf numFmtId="164" fontId="6" fillId="2" borderId="19" xfId="0" applyNumberFormat="1" applyFont="1" applyFill="1" applyBorder="1" applyAlignment="1">
      <alignment horizontal="center" vertical="center" wrapText="1"/>
    </xf>
    <xf numFmtId="164" fontId="6" fillId="2" borderId="20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166" fontId="3" fillId="0" borderId="13" xfId="0" applyNumberFormat="1" applyFont="1" applyBorder="1" applyAlignment="1">
      <alignment horizontal="left" wrapText="1"/>
    </xf>
    <xf numFmtId="166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 indent="11"/>
    </xf>
    <xf numFmtId="0" fontId="3" fillId="0" borderId="2" xfId="0" applyFont="1" applyBorder="1" applyAlignment="1">
      <alignment horizontal="left" vertical="top" wrapText="1" indent="1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64" fontId="3" fillId="0" borderId="12" xfId="1" applyFont="1" applyBorder="1" applyAlignment="1">
      <alignment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1</xdr:row>
      <xdr:rowOff>38101</xdr:rowOff>
    </xdr:from>
    <xdr:to>
      <xdr:col>2</xdr:col>
      <xdr:colOff>593090</xdr:colOff>
      <xdr:row>2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7A09-9589-4BB0-AF7E-CABF342C8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419101"/>
          <a:ext cx="1838960" cy="626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infinityhealth.co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showGridLines="0" tabSelected="1" zoomScaleNormal="100" workbookViewId="0">
      <pane xSplit="1" ySplit="10" topLeftCell="D11" activePane="bottomRight" state="frozen"/>
      <selection pane="topRight" activeCell="C1" sqref="C1"/>
      <selection pane="bottomLeft" activeCell="A7" sqref="A7"/>
      <selection pane="bottomRight" activeCell="H7" sqref="H7"/>
    </sheetView>
  </sheetViews>
  <sheetFormatPr defaultRowHeight="15" x14ac:dyDescent="0.25"/>
  <cols>
    <col min="1" max="1" width="4.140625" customWidth="1"/>
    <col min="2" max="2" width="15" style="50" customWidth="1"/>
    <col min="3" max="3" width="56.28515625" customWidth="1"/>
    <col min="4" max="4" width="10.42578125" customWidth="1"/>
    <col min="5" max="5" width="12.7109375" customWidth="1"/>
    <col min="6" max="6" width="7.140625" bestFit="1" customWidth="1"/>
    <col min="7" max="7" width="7.85546875" customWidth="1"/>
    <col min="8" max="8" width="14" customWidth="1"/>
    <col min="9" max="9" width="15.85546875" customWidth="1"/>
    <col min="10" max="10" width="15.140625" customWidth="1"/>
    <col min="11" max="11" width="20" customWidth="1"/>
    <col min="12" max="12" width="8.140625" customWidth="1"/>
    <col min="13" max="13" width="8.85546875" hidden="1" customWidth="1"/>
  </cols>
  <sheetData>
    <row r="1" spans="1:15" ht="30" customHeight="1" thickTop="1" thickBot="1" x14ac:dyDescent="0.3">
      <c r="A1" s="66" t="s">
        <v>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M1" s="6">
        <v>0.16</v>
      </c>
    </row>
    <row r="2" spans="1:15" ht="39.950000000000003" customHeight="1" thickTop="1" x14ac:dyDescent="0.25">
      <c r="A2" s="67"/>
      <c r="B2" s="68"/>
      <c r="C2" s="68"/>
      <c r="D2" s="68"/>
      <c r="E2" s="68"/>
      <c r="F2" s="68"/>
      <c r="G2" s="68"/>
      <c r="H2" s="61"/>
      <c r="I2" s="70" t="s">
        <v>18</v>
      </c>
      <c r="J2" s="70"/>
      <c r="K2" s="71"/>
      <c r="M2" s="6">
        <v>0.16</v>
      </c>
    </row>
    <row r="3" spans="1:15" ht="24.6" customHeight="1" x14ac:dyDescent="0.25">
      <c r="A3" s="39" t="s">
        <v>12</v>
      </c>
      <c r="B3" s="48"/>
      <c r="C3" s="40"/>
      <c r="D3" s="36"/>
      <c r="E3" s="33"/>
      <c r="F3" s="33"/>
      <c r="G3" s="33"/>
      <c r="H3" s="33"/>
      <c r="I3" s="33"/>
      <c r="J3" s="34"/>
      <c r="K3" s="35"/>
      <c r="M3" s="6"/>
    </row>
    <row r="4" spans="1:15" ht="16.350000000000001" customHeight="1" x14ac:dyDescent="0.25">
      <c r="A4" s="41" t="s">
        <v>13</v>
      </c>
      <c r="B4" s="48"/>
      <c r="C4" s="40"/>
      <c r="D4" s="36"/>
      <c r="E4" s="33"/>
      <c r="F4" s="33"/>
      <c r="G4" s="33"/>
      <c r="H4" s="33"/>
      <c r="I4" s="33"/>
      <c r="J4" s="34"/>
      <c r="K4" s="35"/>
      <c r="M4" s="6"/>
    </row>
    <row r="5" spans="1:15" ht="16.350000000000001" customHeight="1" x14ac:dyDescent="0.25">
      <c r="A5" s="42" t="s">
        <v>14</v>
      </c>
      <c r="B5" s="48"/>
      <c r="C5" s="40"/>
      <c r="D5" s="38"/>
      <c r="E5" s="69" t="s">
        <v>20</v>
      </c>
      <c r="F5" s="69"/>
      <c r="G5" s="69"/>
      <c r="H5" s="69"/>
      <c r="I5" s="69"/>
      <c r="J5" s="69"/>
      <c r="K5" s="29"/>
      <c r="O5" s="1"/>
    </row>
    <row r="6" spans="1:15" ht="14.45" customHeight="1" x14ac:dyDescent="0.25">
      <c r="A6" s="39" t="s">
        <v>15</v>
      </c>
      <c r="B6" s="48"/>
      <c r="C6" s="40"/>
      <c r="D6" s="37"/>
      <c r="E6" s="31"/>
      <c r="F6" s="43"/>
      <c r="G6" s="44"/>
      <c r="H6" s="32"/>
      <c r="I6" s="32"/>
      <c r="J6" s="28"/>
      <c r="K6" s="29"/>
      <c r="O6" s="1"/>
    </row>
    <row r="7" spans="1:15" ht="13.35" customHeight="1" x14ac:dyDescent="0.25">
      <c r="A7" s="39" t="s">
        <v>16</v>
      </c>
      <c r="B7" s="48"/>
      <c r="C7" s="40"/>
      <c r="D7" s="37"/>
      <c r="E7" s="31"/>
      <c r="F7" s="43"/>
      <c r="G7" s="44"/>
      <c r="H7" s="32"/>
      <c r="I7" s="32"/>
      <c r="J7" s="28"/>
      <c r="K7" s="29"/>
      <c r="O7" s="1"/>
    </row>
    <row r="8" spans="1:15" ht="20.100000000000001" customHeight="1" thickBot="1" x14ac:dyDescent="0.3">
      <c r="A8" s="62"/>
      <c r="B8" s="63"/>
      <c r="C8" s="63"/>
      <c r="D8" s="63"/>
      <c r="E8" s="59"/>
      <c r="F8" s="13"/>
      <c r="G8" s="13"/>
      <c r="H8" s="64"/>
      <c r="I8" s="64"/>
      <c r="J8" s="64"/>
      <c r="K8" s="65"/>
      <c r="O8" s="2"/>
    </row>
    <row r="9" spans="1:15" s="4" customFormat="1" ht="15.75" customHeight="1" thickTop="1" x14ac:dyDescent="0.25">
      <c r="A9" s="14">
        <v>1</v>
      </c>
      <c r="B9" s="45"/>
      <c r="C9" s="15">
        <v>2</v>
      </c>
      <c r="D9" s="15">
        <v>3</v>
      </c>
      <c r="E9" s="15"/>
      <c r="F9" s="15">
        <v>4</v>
      </c>
      <c r="G9" s="15">
        <v>5</v>
      </c>
      <c r="H9" s="15">
        <v>6</v>
      </c>
      <c r="I9" s="15">
        <v>7</v>
      </c>
      <c r="J9" s="15">
        <v>8</v>
      </c>
      <c r="K9" s="16">
        <v>9</v>
      </c>
      <c r="L9" s="5"/>
    </row>
    <row r="10" spans="1:15" ht="26.25" thickBot="1" x14ac:dyDescent="0.3">
      <c r="A10" s="19" t="s">
        <v>0</v>
      </c>
      <c r="B10" s="46" t="s">
        <v>10</v>
      </c>
      <c r="C10" s="20" t="s">
        <v>1</v>
      </c>
      <c r="D10" s="20" t="s">
        <v>2</v>
      </c>
      <c r="E10" s="20" t="s">
        <v>11</v>
      </c>
      <c r="F10" s="20" t="s">
        <v>6</v>
      </c>
      <c r="G10" s="20" t="s">
        <v>3</v>
      </c>
      <c r="H10" s="20" t="s">
        <v>8</v>
      </c>
      <c r="I10" s="20" t="s">
        <v>4</v>
      </c>
      <c r="J10" s="72" t="s">
        <v>9</v>
      </c>
      <c r="K10" s="21" t="s">
        <v>5</v>
      </c>
    </row>
    <row r="11" spans="1:15" s="51" customFormat="1" ht="27.95" customHeight="1" x14ac:dyDescent="0.25">
      <c r="A11" s="52">
        <v>1</v>
      </c>
      <c r="B11" s="53" t="s">
        <v>21</v>
      </c>
      <c r="C11" s="54" t="s">
        <v>22</v>
      </c>
      <c r="D11" s="55" t="s">
        <v>17</v>
      </c>
      <c r="E11" s="55" t="s">
        <v>23</v>
      </c>
      <c r="F11" s="55">
        <v>3</v>
      </c>
      <c r="G11" s="55" t="s">
        <v>7</v>
      </c>
      <c r="H11" s="56">
        <v>16659.95</v>
      </c>
      <c r="I11" s="56">
        <f>+H11*F11</f>
        <v>49979.850000000006</v>
      </c>
      <c r="J11" s="57">
        <f>16%*I11</f>
        <v>7996.7760000000007</v>
      </c>
      <c r="K11" s="58">
        <f>J11+I11</f>
        <v>57976.626000000004</v>
      </c>
    </row>
    <row r="12" spans="1:15" ht="32.1" customHeight="1" x14ac:dyDescent="0.25">
      <c r="A12" s="27">
        <v>2</v>
      </c>
      <c r="B12" s="47" t="s">
        <v>24</v>
      </c>
      <c r="C12" s="17" t="s">
        <v>25</v>
      </c>
      <c r="D12" s="18" t="s">
        <v>17</v>
      </c>
      <c r="E12" s="18" t="s">
        <v>23</v>
      </c>
      <c r="F12" s="18">
        <v>3</v>
      </c>
      <c r="G12" s="18" t="s">
        <v>7</v>
      </c>
      <c r="H12" s="22">
        <v>16659.95</v>
      </c>
      <c r="I12" s="22">
        <f t="shared" ref="I12:I15" si="0">+H12*F12</f>
        <v>49979.850000000006</v>
      </c>
      <c r="J12" s="23">
        <f>16%*I12</f>
        <v>7996.7760000000007</v>
      </c>
      <c r="K12" s="24">
        <f>J12+I12</f>
        <v>57976.626000000004</v>
      </c>
    </row>
    <row r="13" spans="1:15" ht="32.1" customHeight="1" x14ac:dyDescent="0.25">
      <c r="A13" s="27"/>
      <c r="B13" s="47" t="s">
        <v>26</v>
      </c>
      <c r="C13" s="17" t="s">
        <v>27</v>
      </c>
      <c r="D13" s="18" t="s">
        <v>17</v>
      </c>
      <c r="E13" s="18" t="s">
        <v>23</v>
      </c>
      <c r="F13" s="18">
        <v>3</v>
      </c>
      <c r="G13" s="18" t="s">
        <v>7</v>
      </c>
      <c r="H13" s="22">
        <v>16659.95</v>
      </c>
      <c r="I13" s="22">
        <f>+H13*F13</f>
        <v>49979.850000000006</v>
      </c>
      <c r="J13" s="23">
        <f>16%*I13</f>
        <v>7996.7760000000007</v>
      </c>
      <c r="K13" s="24">
        <f>+J13+I13</f>
        <v>57976.626000000004</v>
      </c>
    </row>
    <row r="14" spans="1:15" ht="31.5" x14ac:dyDescent="0.25">
      <c r="A14" s="27">
        <v>3</v>
      </c>
      <c r="B14" s="47" t="s">
        <v>28</v>
      </c>
      <c r="C14" s="17" t="s">
        <v>29</v>
      </c>
      <c r="D14" s="18" t="s">
        <v>17</v>
      </c>
      <c r="E14" s="18" t="s">
        <v>23</v>
      </c>
      <c r="F14" s="18">
        <v>3</v>
      </c>
      <c r="G14" s="18" t="s">
        <v>7</v>
      </c>
      <c r="H14" s="22">
        <v>16659.95</v>
      </c>
      <c r="I14" s="22">
        <f t="shared" si="0"/>
        <v>49979.850000000006</v>
      </c>
      <c r="J14" s="23">
        <f>16%*I14</f>
        <v>7996.7760000000007</v>
      </c>
      <c r="K14" s="24">
        <f t="shared" ref="K14:K15" si="1">J14+I14</f>
        <v>57976.626000000004</v>
      </c>
    </row>
    <row r="15" spans="1:15" ht="32.25" thickBot="1" x14ac:dyDescent="0.3">
      <c r="A15" s="27">
        <v>4</v>
      </c>
      <c r="B15" s="47" t="s">
        <v>30</v>
      </c>
      <c r="C15" s="30" t="s">
        <v>31</v>
      </c>
      <c r="D15" s="18" t="s">
        <v>17</v>
      </c>
      <c r="E15" s="18" t="s">
        <v>23</v>
      </c>
      <c r="F15" s="18">
        <v>3</v>
      </c>
      <c r="G15" s="18" t="s">
        <v>7</v>
      </c>
      <c r="H15" s="22">
        <v>16659.95</v>
      </c>
      <c r="I15" s="22">
        <f t="shared" si="0"/>
        <v>49979.850000000006</v>
      </c>
      <c r="J15" s="23">
        <f>16%*I15</f>
        <v>7996.7760000000007</v>
      </c>
      <c r="K15" s="24">
        <f t="shared" si="1"/>
        <v>57976.626000000004</v>
      </c>
    </row>
    <row r="16" spans="1:15" ht="17.25" thickTop="1" thickBot="1" x14ac:dyDescent="0.3">
      <c r="A16" s="11"/>
      <c r="B16" s="60"/>
      <c r="C16" s="11"/>
      <c r="D16" s="11"/>
      <c r="E16" s="11"/>
      <c r="F16" s="11"/>
      <c r="G16" s="11"/>
      <c r="H16" s="12"/>
      <c r="I16" s="10">
        <f>SUM(I11:I15)</f>
        <v>249899.25000000003</v>
      </c>
      <c r="J16" s="73">
        <f>SUM(J11:J15)</f>
        <v>39983.880000000005</v>
      </c>
      <c r="K16" s="9">
        <f>SUM(K11:K15)</f>
        <v>289883.13</v>
      </c>
    </row>
    <row r="17" spans="1:11" ht="22.5" customHeight="1" thickTop="1" x14ac:dyDescent="0.25">
      <c r="A17" s="3"/>
      <c r="B17" s="49"/>
      <c r="C17" s="3"/>
      <c r="D17" s="3"/>
      <c r="E17" s="3"/>
      <c r="F17" s="3"/>
      <c r="G17" s="3"/>
      <c r="H17" s="3"/>
      <c r="I17" s="3"/>
      <c r="J17" s="3"/>
      <c r="K17" s="8"/>
    </row>
    <row r="18" spans="1:11" x14ac:dyDescent="0.25">
      <c r="C18" s="25"/>
      <c r="J18" s="7"/>
    </row>
    <row r="19" spans="1:11" x14ac:dyDescent="0.25">
      <c r="I19" s="7"/>
      <c r="K19" s="7"/>
    </row>
    <row r="24" spans="1:11" x14ac:dyDescent="0.25">
      <c r="C24" s="26"/>
    </row>
  </sheetData>
  <mergeCells count="6">
    <mergeCell ref="A1:K1"/>
    <mergeCell ref="A2:G2"/>
    <mergeCell ref="I2:K2"/>
    <mergeCell ref="E5:J5"/>
    <mergeCell ref="A8:D8"/>
    <mergeCell ref="H8:K8"/>
  </mergeCells>
  <hyperlinks>
    <hyperlink ref="A4" r:id="rId1" display="info@infinityhealth.co.mz"/>
  </hyperlinks>
  <printOptions horizontalCentered="1"/>
  <pageMargins left="0.51181102362204722" right="0.59055118110236227" top="0.74803149606299213" bottom="0.74803149606299213" header="0.31496062992125984" footer="0.31496062992125984"/>
  <pageSetup scale="7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NºCL12</vt:lpstr>
      <vt:lpstr>NºCL12!_Toc68319420</vt:lpstr>
      <vt:lpstr>NºCL12!Print_Area</vt:lpstr>
      <vt:lpstr>NºCL12!Print_Titles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Wilson</cp:lastModifiedBy>
  <cp:lastPrinted>2026-08-07T08:23:05Z</cp:lastPrinted>
  <dcterms:created xsi:type="dcterms:W3CDTF">2015-09-18T16:27:18Z</dcterms:created>
  <dcterms:modified xsi:type="dcterms:W3CDTF">2026-09-29T17:43:02Z</dcterms:modified>
</cp:coreProperties>
</file>