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n\Downloads\"/>
    </mc:Choice>
  </mc:AlternateContent>
  <bookViews>
    <workbookView xWindow="0" yWindow="0" windowWidth="18675" windowHeight="8085" activeTab="1"/>
  </bookViews>
  <sheets>
    <sheet name="Lote8" sheetId="12" r:id="rId1"/>
    <sheet name="lote7" sheetId="15" r:id="rId2"/>
    <sheet name="Sheet1" sheetId="13" r:id="rId3"/>
    <sheet name="Sheet2" sheetId="14" r:id="rId4"/>
    <sheet name="Nº0016 (3)" sheetId="16" r:id="rId5"/>
  </sheets>
  <definedNames>
    <definedName name="_Toc68319419" localSheetId="1">lote7!#REF!</definedName>
    <definedName name="_Toc68319419" localSheetId="0">Lote8!#REF!</definedName>
    <definedName name="_Toc68319419" localSheetId="4">'Nº0016 (3)'!#REF!</definedName>
    <definedName name="_Toc68319420" localSheetId="1">lote7!$A$1</definedName>
    <definedName name="_Toc68319420" localSheetId="0">Lote8!$A$1</definedName>
    <definedName name="_Toc68319420" localSheetId="4">'Nº0016 (3)'!$A$1</definedName>
    <definedName name="_xlnm.Print_Area" localSheetId="1">lote7!$A$1:$K$28</definedName>
    <definedName name="_xlnm.Print_Area" localSheetId="0">Lote8!$A$1:$K$27</definedName>
    <definedName name="_xlnm.Print_Area" localSheetId="4">'Nº0016 (3)'!$A$1:$K$16</definedName>
    <definedName name="_xlnm.Print_Titles" localSheetId="1">lote7!$1:$10</definedName>
    <definedName name="_xlnm.Print_Titles" localSheetId="0">Lote8!$1:$10</definedName>
    <definedName name="_xlnm.Print_Titles" localSheetId="4">'Nº0016 (3)'!$1:$10</definedName>
  </definedNames>
  <calcPr calcId="162913"/>
</workbook>
</file>

<file path=xl/calcChain.xml><?xml version="1.0" encoding="utf-8"?>
<calcChain xmlns="http://schemas.openxmlformats.org/spreadsheetml/2006/main">
  <c r="J26" i="15" l="1"/>
  <c r="K23" i="15"/>
  <c r="J23" i="15"/>
  <c r="J22" i="15"/>
  <c r="K22" i="15" s="1"/>
  <c r="J21" i="15"/>
  <c r="K24" i="15"/>
  <c r="K25" i="15"/>
  <c r="J24" i="15"/>
  <c r="J25" i="15"/>
  <c r="I25" i="15"/>
  <c r="I24" i="15"/>
  <c r="I23" i="15"/>
  <c r="I22" i="15"/>
  <c r="I19" i="15"/>
  <c r="J19" i="15" s="1"/>
  <c r="K19" i="15" s="1"/>
  <c r="I18" i="15"/>
  <c r="J18" i="15" s="1"/>
  <c r="K18" i="15" s="1"/>
  <c r="K23" i="12"/>
  <c r="I23" i="12"/>
  <c r="J23" i="12"/>
  <c r="J22" i="12"/>
  <c r="K22" i="12"/>
  <c r="I22" i="12"/>
  <c r="I21" i="12"/>
  <c r="J21" i="12" s="1"/>
  <c r="K21" i="12" s="1"/>
  <c r="I14" i="16" l="1"/>
  <c r="K14" i="16" s="1"/>
  <c r="I13" i="16"/>
  <c r="K13" i="16" s="1"/>
  <c r="I12" i="16"/>
  <c r="K12" i="16" s="1"/>
  <c r="I11" i="16"/>
  <c r="I15" i="16" l="1"/>
  <c r="I26" i="15"/>
  <c r="K26" i="15" s="1"/>
  <c r="I21" i="15"/>
  <c r="K21" i="15" s="1"/>
  <c r="I20" i="15"/>
  <c r="I17" i="15"/>
  <c r="I16" i="15"/>
  <c r="J16" i="15" s="1"/>
  <c r="K16" i="15" s="1"/>
  <c r="I15" i="15"/>
  <c r="I14" i="15"/>
  <c r="I13" i="15"/>
  <c r="K13" i="15" s="1"/>
  <c r="I12" i="15"/>
  <c r="I11" i="15"/>
  <c r="I20" i="12"/>
  <c r="J20" i="12" s="1"/>
  <c r="K20" i="12" s="1"/>
  <c r="J20" i="15" l="1"/>
  <c r="K20" i="15" s="1"/>
  <c r="J17" i="15"/>
  <c r="K17" i="15" s="1"/>
  <c r="J14" i="15"/>
  <c r="K14" i="15" s="1"/>
  <c r="J15" i="15"/>
  <c r="K15" i="15" s="1"/>
  <c r="J12" i="15"/>
  <c r="K12" i="15" s="1"/>
  <c r="J15" i="16"/>
  <c r="K11" i="16"/>
  <c r="K15" i="16" s="1"/>
  <c r="I27" i="15"/>
  <c r="J11" i="15"/>
  <c r="K11" i="15" s="1"/>
  <c r="I24" i="12"/>
  <c r="J24" i="12" s="1"/>
  <c r="I25" i="12"/>
  <c r="I19" i="12"/>
  <c r="I18" i="12"/>
  <c r="I17" i="12"/>
  <c r="K27" i="15" l="1"/>
  <c r="J25" i="12"/>
  <c r="K25" i="12" s="1"/>
  <c r="J18" i="12"/>
  <c r="K18" i="12" s="1"/>
  <c r="J19" i="12"/>
  <c r="K19" i="12" s="1"/>
  <c r="J17" i="12"/>
  <c r="K17" i="12" s="1"/>
  <c r="J27" i="15"/>
  <c r="K24" i="12"/>
  <c r="I12" i="12"/>
  <c r="J12" i="12" s="1"/>
  <c r="I14" i="12"/>
  <c r="J14" i="12" s="1"/>
  <c r="I15" i="12"/>
  <c r="J15" i="12" s="1"/>
  <c r="I16" i="12"/>
  <c r="J16" i="12" s="1"/>
  <c r="I11" i="12"/>
  <c r="J11" i="12" s="1"/>
  <c r="K14" i="12" l="1"/>
  <c r="K12" i="12"/>
  <c r="K16" i="12"/>
  <c r="K15" i="12"/>
  <c r="I26" i="12"/>
  <c r="K11" i="12"/>
  <c r="K26" i="12" l="1"/>
  <c r="J26" i="12"/>
</calcChain>
</file>

<file path=xl/sharedStrings.xml><?xml version="1.0" encoding="utf-8"?>
<sst xmlns="http://schemas.openxmlformats.org/spreadsheetml/2006/main" count="226" uniqueCount="98">
  <si>
    <t>Item</t>
  </si>
  <si>
    <t xml:space="preserve">Descrição dos Bens </t>
  </si>
  <si>
    <t>País de Origem</t>
  </si>
  <si>
    <t>Unidade Física</t>
  </si>
  <si>
    <t>Preço Total s/IVA</t>
  </si>
  <si>
    <t>Preço Total c/IVA</t>
  </si>
  <si>
    <t>QTD</t>
  </si>
  <si>
    <t>UN</t>
  </si>
  <si>
    <t xml:space="preserve">Preço Unitário </t>
  </si>
  <si>
    <t>IVA 16%</t>
  </si>
  <si>
    <t>Refª</t>
  </si>
  <si>
    <t>Tempo De Entrega</t>
  </si>
  <si>
    <t>Endereço: Rua da França, N°273, Bairro da Coop</t>
  </si>
  <si>
    <t>Email: info@infinityhealth.co.mz</t>
  </si>
  <si>
    <t>Telef: +258 86 226 0072</t>
  </si>
  <si>
    <t>NUIT 401550216</t>
  </si>
  <si>
    <t>Maputo - Moçambique</t>
  </si>
  <si>
    <t>RSA</t>
  </si>
  <si>
    <t>L</t>
  </si>
  <si>
    <t>Description</t>
  </si>
  <si>
    <t>QTY</t>
  </si>
  <si>
    <t>Monkeypox Virus (MPV) Detection Kit (PCR-Fluorescence Probing), 32 tests/kit</t>
  </si>
  <si>
    <t>CR558L007153/CP/ N.º 8/Fundos Externos/UGEA/2026</t>
  </si>
  <si>
    <t>Aquisição de Consumíveis e Reagentes de Laboratório</t>
  </si>
  <si>
    <t>21 Dias Uteis</t>
  </si>
  <si>
    <t>LOTE 3: Consumíveis de PBMC</t>
  </si>
  <si>
    <t>Gibco™ Fetal Bovine Serum, qualified, heat inactivated, United States 500mL</t>
  </si>
  <si>
    <t>USA</t>
  </si>
  <si>
    <t>Gibco™ PBS, pH 7.4 12x1000mL</t>
  </si>
  <si>
    <t>GE17-1440-02</t>
  </si>
  <si>
    <t>Ficoll® Paque Plus liquid, sterile (endotoxins &lt; 0.12 EU/mL), density: 1.077 g/mL, pack of 6 × 100 mL</t>
  </si>
  <si>
    <t>34869-100ML</t>
  </si>
  <si>
    <t>Dimethyl sulfoxide suitable for HPLC, ≥99.7%,100mL</t>
  </si>
  <si>
    <t>Instituto Nacional De Saúde /CISPOC</t>
  </si>
  <si>
    <t>CR58L007153/CP Nº 08/Fundos Externos/UGEA/2026-Para Aquisição Reagentes De Laboratório-Saneamento</t>
  </si>
  <si>
    <t>Catalogos do Lote Nº4 &amp; 5</t>
  </si>
  <si>
    <t>Lote 8 – Aquisição de equipamento</t>
  </si>
  <si>
    <t>CR58L007153/CL/12/Fundos Externos/UGEA/2026</t>
  </si>
  <si>
    <t>Aquisição de material clínico</t>
  </si>
  <si>
    <t>3447-809</t>
  </si>
  <si>
    <t>Martelo de reflexos de Taylor (patela)</t>
  </si>
  <si>
    <t>WATCH0005</t>
  </si>
  <si>
    <t>Cronómetro digital (stopwatch timer)</t>
  </si>
  <si>
    <t>ROSSM0004</t>
  </si>
  <si>
    <t>Medidor digital de pressão arterial Rossmax CH155F (braço)</t>
  </si>
  <si>
    <t>Oxímetro de pulso de dedo Contec CMS50D (SpO2)</t>
  </si>
  <si>
    <t>PULSE0006</t>
  </si>
  <si>
    <t>THERM0010</t>
  </si>
  <si>
    <t>Termómetro infravermelho sem contacto (aprovação FDA)</t>
  </si>
  <si>
    <t>STETH-CARD</t>
  </si>
  <si>
    <t>Estetoscópio de cardiologia —adulto</t>
  </si>
  <si>
    <t>STETH-CHILD</t>
  </si>
  <si>
    <t>Estetoscópio pediátrico de dupla campânula</t>
  </si>
  <si>
    <t>WE300</t>
  </si>
  <si>
    <t>Balança digital para bebés WE300 Qutie</t>
  </si>
  <si>
    <t>MUAC-CHILD</t>
  </si>
  <si>
    <t>Fita MUAC (perímetro braquial) — criança</t>
  </si>
  <si>
    <t>SH1001</t>
  </si>
  <si>
    <t>Dinamómetro de mão digital DHD-1, em estojo</t>
  </si>
  <si>
    <t>OTO-OPH-SET</t>
  </si>
  <si>
    <t>Conjunto de otoscópio e oftalmoscópio de fibra óptica</t>
  </si>
  <si>
    <t>MS7301</t>
  </si>
  <si>
    <t>Balança digital Charder MS7301, 250 kg</t>
  </si>
  <si>
    <t>Lote 7 – Aquisição de material clínico respiratórias</t>
  </si>
  <si>
    <t>NEBUL0001</t>
  </si>
  <si>
    <t>Nebulizador de compressor CA-MI Flo Eolo</t>
  </si>
  <si>
    <t>GUEDE0004</t>
  </si>
  <si>
    <t>Cânula orofaríngea de Guedel,tamanho 1</t>
  </si>
  <si>
    <t>DG000606</t>
  </si>
  <si>
    <t>Bronch-U-Vibe — dispositivo manual de vibração/percussão torácica para desobstrução das vias aéreas</t>
  </si>
  <si>
    <t>TS-7EG</t>
  </si>
  <si>
    <t>Aspirador de secreções portátil 7EG1, bateria e rede</t>
  </si>
  <si>
    <t>7.1</t>
  </si>
  <si>
    <t>7.2</t>
  </si>
  <si>
    <t>SUCTI0007</t>
  </si>
  <si>
    <t>SUCTI0008</t>
  </si>
  <si>
    <t>Sondas de aspiração com controlo de vácuo, FG6</t>
  </si>
  <si>
    <t>Sondas de aspiração com controlo de vácuo, FG8</t>
  </si>
  <si>
    <t>SUCTI0001</t>
  </si>
  <si>
    <t>Sondas de aspiração com controlo de vácuo, FG10</t>
  </si>
  <si>
    <t>OS003010</t>
  </si>
  <si>
    <t>Kit de nebulização Akacia com máscara de aerossol, adulto</t>
  </si>
  <si>
    <t>NEBSET-AD</t>
  </si>
  <si>
    <t>Kit de nebulização adulto (máscara,tubo e copo de medicamento)</t>
  </si>
  <si>
    <t>WE027215</t>
  </si>
  <si>
    <t>9.1</t>
  </si>
  <si>
    <t>9.2</t>
  </si>
  <si>
    <t>9.3</t>
  </si>
  <si>
    <t>9.4</t>
  </si>
  <si>
    <t>Extractor de muco 25 mL, FG10</t>
  </si>
  <si>
    <t>WE027220</t>
  </si>
  <si>
    <t>Extractor de muco 25 mL, FG12</t>
  </si>
  <si>
    <t>WE027225</t>
  </si>
  <si>
    <t>Extractor de muco 25 mL, FG14</t>
  </si>
  <si>
    <t>WE027205</t>
  </si>
  <si>
    <t>Extractor de muco 25 mL, FG6</t>
  </si>
  <si>
    <t>WE027210</t>
  </si>
  <si>
    <t>Extractor de muco 25 mL, FG8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</si>
</sst>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.00\ _€_-;\-* #,##0.00\ _€_-;_-* &quot;-&quot;??\ _€_-;_-@_-"/>
    <numFmt numFmtId="166" formatCode="dd\-mm\-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indexed="8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 Nova Light"/>
      <family val="2"/>
    </font>
    <font>
      <b/>
      <u/>
      <sz val="11"/>
      <color theme="10"/>
      <name val="Arial Nova Light"/>
      <family val="2"/>
    </font>
    <font>
      <b/>
      <sz val="14"/>
      <color theme="1"/>
      <name val="Calibri"/>
      <family val="2"/>
      <scheme val="minor"/>
    </font>
    <font>
      <b/>
      <sz val="28"/>
      <color theme="1"/>
      <name val="Consolas"/>
      <family val="3"/>
    </font>
    <font>
      <sz val="12"/>
      <color rgb="FF002060"/>
      <name val="Consolas"/>
      <family val="3"/>
    </font>
    <font>
      <b/>
      <sz val="12"/>
      <color rgb="FF00206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5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164" fontId="5" fillId="0" borderId="12" xfId="1" applyFont="1" applyBorder="1" applyAlignment="1">
      <alignment wrapText="1"/>
    </xf>
    <xf numFmtId="9" fontId="0" fillId="0" borderId="0" xfId="0" applyNumberFormat="1"/>
    <xf numFmtId="165" fontId="0" fillId="0" borderId="0" xfId="0" applyNumberFormat="1"/>
    <xf numFmtId="164" fontId="0" fillId="0" borderId="0" xfId="0" applyNumberFormat="1"/>
    <xf numFmtId="164" fontId="3" fillId="0" borderId="18" xfId="1" applyFont="1" applyBorder="1"/>
    <xf numFmtId="164" fontId="3" fillId="0" borderId="11" xfId="1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64" fontId="6" fillId="0" borderId="21" xfId="1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6" fillId="0" borderId="24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4" xfId="0" applyBorder="1" applyAlignment="1">
      <alignment vertical="top" wrapText="1"/>
    </xf>
    <xf numFmtId="0" fontId="10" fillId="0" borderId="21" xfId="0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left" wrapText="1"/>
    </xf>
    <xf numFmtId="0" fontId="6" fillId="0" borderId="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12" fillId="0" borderId="10" xfId="0" applyFont="1" applyBorder="1"/>
    <xf numFmtId="0" fontId="12" fillId="0" borderId="0" xfId="0" applyFont="1" applyBorder="1"/>
    <xf numFmtId="0" fontId="13" fillId="0" borderId="10" xfId="2" applyFont="1" applyBorder="1"/>
    <xf numFmtId="0" fontId="12" fillId="0" borderId="10" xfId="0" applyFont="1" applyBorder="1" applyAlignment="1">
      <alignment horizontal="left"/>
    </xf>
    <xf numFmtId="0" fontId="6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/>
    <xf numFmtId="0" fontId="6" fillId="2" borderId="23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center" vertical="center" wrapText="1"/>
    </xf>
    <xf numFmtId="164" fontId="6" fillId="2" borderId="19" xfId="1" applyFont="1" applyFill="1" applyBorder="1" applyAlignment="1">
      <alignment horizontal="center" vertical="center" wrapText="1"/>
    </xf>
    <xf numFmtId="164" fontId="6" fillId="2" borderId="19" xfId="0" applyNumberFormat="1" applyFont="1" applyFill="1" applyBorder="1" applyAlignment="1">
      <alignment horizontal="center" vertical="center" wrapText="1"/>
    </xf>
    <xf numFmtId="164" fontId="6" fillId="2" borderId="2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vertical="justify"/>
    </xf>
    <xf numFmtId="0" fontId="17" fillId="3" borderId="21" xfId="0" applyFont="1" applyFill="1" applyBorder="1" applyAlignment="1">
      <alignment horizontal="center"/>
    </xf>
    <xf numFmtId="0" fontId="17" fillId="3" borderId="21" xfId="0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left" wrapText="1"/>
    </xf>
    <xf numFmtId="0" fontId="3" fillId="0" borderId="3" xfId="0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left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166" fontId="3" fillId="0" borderId="13" xfId="0" applyNumberFormat="1" applyFont="1" applyBorder="1" applyAlignment="1">
      <alignment horizontal="left" wrapText="1"/>
    </xf>
    <xf numFmtId="166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 indent="11"/>
    </xf>
    <xf numFmtId="0" fontId="3" fillId="0" borderId="2" xfId="0" applyFont="1" applyBorder="1" applyAlignment="1">
      <alignment horizontal="left" vertical="top" wrapText="1" indent="1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justify"/>
    </xf>
    <xf numFmtId="164" fontId="3" fillId="0" borderId="12" xfId="1" applyFont="1" applyBorder="1" applyAlignment="1">
      <alignment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38101</xdr:rowOff>
    </xdr:from>
    <xdr:to>
      <xdr:col>2</xdr:col>
      <xdr:colOff>593090</xdr:colOff>
      <xdr:row>2</xdr:row>
      <xdr:rowOff>160021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E7A09-9589-4BB0-AF7E-CABF342C8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19101"/>
          <a:ext cx="1882140" cy="624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38101</xdr:rowOff>
    </xdr:from>
    <xdr:to>
      <xdr:col>2</xdr:col>
      <xdr:colOff>593090</xdr:colOff>
      <xdr:row>2</xdr:row>
      <xdr:rowOff>160021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E7A09-9589-4BB0-AF7E-CABF342C8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19101"/>
          <a:ext cx="1838960" cy="6267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73660</xdr:colOff>
      <xdr:row>4</xdr:row>
      <xdr:rowOff>77470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E7A09-9589-4BB0-AF7E-CABF342C8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"/>
          <a:ext cx="1902460" cy="6299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38101</xdr:rowOff>
    </xdr:from>
    <xdr:to>
      <xdr:col>2</xdr:col>
      <xdr:colOff>593090</xdr:colOff>
      <xdr:row>2</xdr:row>
      <xdr:rowOff>160021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E7A09-9589-4BB0-AF7E-CABF342C8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19101"/>
          <a:ext cx="1838960" cy="626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infinityhealth.co.mz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nfo@infinityhealth.co.mz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info@infinityhealth.co.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showGridLines="0" zoomScaleNormal="100" workbookViewId="0">
      <pane xSplit="1" ySplit="10" topLeftCell="B16" activePane="bottomRight" state="frozen"/>
      <selection pane="topRight" activeCell="C1" sqref="C1"/>
      <selection pane="bottomLeft" activeCell="A7" sqref="A7"/>
      <selection pane="bottomRight" activeCell="H26" sqref="H26"/>
    </sheetView>
  </sheetViews>
  <sheetFormatPr defaultRowHeight="15" x14ac:dyDescent="0.25"/>
  <cols>
    <col min="1" max="1" width="4.140625" customWidth="1"/>
    <col min="2" max="2" width="15" style="53" customWidth="1"/>
    <col min="3" max="3" width="61.85546875" customWidth="1"/>
    <col min="4" max="4" width="10.42578125" customWidth="1"/>
    <col min="5" max="5" width="12.7109375" customWidth="1"/>
    <col min="6" max="6" width="7.140625" bestFit="1" customWidth="1"/>
    <col min="7" max="7" width="7.85546875" customWidth="1"/>
    <col min="8" max="8" width="14" customWidth="1"/>
    <col min="9" max="9" width="15.85546875" customWidth="1"/>
    <col min="10" max="10" width="15.140625" customWidth="1"/>
    <col min="11" max="11" width="20" customWidth="1"/>
    <col min="12" max="12" width="8.140625" customWidth="1"/>
    <col min="13" max="13" width="8.85546875" hidden="1" customWidth="1"/>
  </cols>
  <sheetData>
    <row r="1" spans="1:15" ht="30" customHeight="1" thickTop="1" thickBot="1" x14ac:dyDescent="0.3">
      <c r="A1" s="76" t="s">
        <v>38</v>
      </c>
      <c r="B1" s="76"/>
      <c r="C1" s="76"/>
      <c r="D1" s="76"/>
      <c r="E1" s="76"/>
      <c r="F1" s="76"/>
      <c r="G1" s="76"/>
      <c r="H1" s="76"/>
      <c r="I1" s="76"/>
      <c r="J1" s="76"/>
      <c r="K1" s="76"/>
      <c r="M1" s="7">
        <v>0.16</v>
      </c>
    </row>
    <row r="2" spans="1:15" ht="39.950000000000003" customHeight="1" thickTop="1" x14ac:dyDescent="0.25">
      <c r="A2" s="77"/>
      <c r="B2" s="78"/>
      <c r="C2" s="78"/>
      <c r="D2" s="78"/>
      <c r="E2" s="78"/>
      <c r="F2" s="78"/>
      <c r="G2" s="78"/>
      <c r="H2" s="71"/>
      <c r="I2" s="80" t="s">
        <v>37</v>
      </c>
      <c r="J2" s="80"/>
      <c r="K2" s="81"/>
      <c r="M2" s="7">
        <v>0.16</v>
      </c>
    </row>
    <row r="3" spans="1:15" ht="24.6" customHeight="1" x14ac:dyDescent="0.25">
      <c r="A3" s="41" t="s">
        <v>12</v>
      </c>
      <c r="B3" s="51"/>
      <c r="C3" s="42"/>
      <c r="D3" s="38"/>
      <c r="E3" s="35"/>
      <c r="F3" s="35"/>
      <c r="G3" s="35"/>
      <c r="H3" s="35"/>
      <c r="I3" s="35"/>
      <c r="J3" s="36"/>
      <c r="K3" s="37"/>
      <c r="M3" s="7"/>
    </row>
    <row r="4" spans="1:15" ht="16.350000000000001" customHeight="1" x14ac:dyDescent="0.25">
      <c r="A4" s="43" t="s">
        <v>13</v>
      </c>
      <c r="B4" s="51"/>
      <c r="C4" s="42"/>
      <c r="D4" s="38"/>
      <c r="E4" s="35"/>
      <c r="F4" s="35"/>
      <c r="G4" s="35"/>
      <c r="H4" s="35"/>
      <c r="I4" s="35"/>
      <c r="J4" s="36"/>
      <c r="K4" s="37"/>
      <c r="M4" s="7"/>
    </row>
    <row r="5" spans="1:15" ht="20.25" customHeight="1" x14ac:dyDescent="0.25">
      <c r="A5" s="44" t="s">
        <v>14</v>
      </c>
      <c r="B5" s="51"/>
      <c r="C5" s="42"/>
      <c r="D5" s="40"/>
      <c r="E5" s="79" t="s">
        <v>36</v>
      </c>
      <c r="F5" s="79"/>
      <c r="G5" s="79"/>
      <c r="H5" s="79"/>
      <c r="I5" s="79"/>
      <c r="J5" s="79"/>
      <c r="K5" s="30"/>
      <c r="O5" s="1"/>
    </row>
    <row r="6" spans="1:15" ht="14.45" customHeight="1" x14ac:dyDescent="0.25">
      <c r="A6" s="41" t="s">
        <v>15</v>
      </c>
      <c r="B6" s="51"/>
      <c r="C6" s="42"/>
      <c r="D6" s="39"/>
      <c r="E6" s="33"/>
      <c r="F6" s="45"/>
      <c r="G6" s="46"/>
      <c r="H6" s="34"/>
      <c r="I6" s="34"/>
      <c r="J6" s="29"/>
      <c r="K6" s="30"/>
      <c r="O6" s="1"/>
    </row>
    <row r="7" spans="1:15" ht="13.35" customHeight="1" x14ac:dyDescent="0.25">
      <c r="A7" s="41" t="s">
        <v>16</v>
      </c>
      <c r="B7" s="51"/>
      <c r="C7" s="42"/>
      <c r="D7" s="39"/>
      <c r="E7" s="33"/>
      <c r="F7" s="45"/>
      <c r="G7" s="46"/>
      <c r="H7" s="34"/>
      <c r="I7" s="34"/>
      <c r="J7" s="29"/>
      <c r="K7" s="30"/>
      <c r="O7" s="1"/>
    </row>
    <row r="8" spans="1:15" ht="20.100000000000001" customHeight="1" thickBot="1" x14ac:dyDescent="0.3">
      <c r="A8" s="72"/>
      <c r="B8" s="73"/>
      <c r="C8" s="73"/>
      <c r="D8" s="73"/>
      <c r="E8" s="32"/>
      <c r="F8" s="14"/>
      <c r="G8" s="14"/>
      <c r="H8" s="74"/>
      <c r="I8" s="74"/>
      <c r="J8" s="74"/>
      <c r="K8" s="75"/>
      <c r="O8" s="2"/>
    </row>
    <row r="9" spans="1:15" s="4" customFormat="1" ht="15.75" customHeight="1" thickTop="1" x14ac:dyDescent="0.25">
      <c r="A9" s="15">
        <v>1</v>
      </c>
      <c r="B9" s="48"/>
      <c r="C9" s="16">
        <v>2</v>
      </c>
      <c r="D9" s="16">
        <v>3</v>
      </c>
      <c r="E9" s="16"/>
      <c r="F9" s="16">
        <v>4</v>
      </c>
      <c r="G9" s="16">
        <v>5</v>
      </c>
      <c r="H9" s="16">
        <v>6</v>
      </c>
      <c r="I9" s="16">
        <v>7</v>
      </c>
      <c r="J9" s="16">
        <v>8</v>
      </c>
      <c r="K9" s="17">
        <v>9</v>
      </c>
      <c r="L9" s="5"/>
    </row>
    <row r="10" spans="1:15" ht="26.25" thickBot="1" x14ac:dyDescent="0.3">
      <c r="A10" s="20" t="s">
        <v>0</v>
      </c>
      <c r="B10" s="49" t="s">
        <v>10</v>
      </c>
      <c r="C10" s="21" t="s">
        <v>1</v>
      </c>
      <c r="D10" s="21" t="s">
        <v>2</v>
      </c>
      <c r="E10" s="21" t="s">
        <v>11</v>
      </c>
      <c r="F10" s="21" t="s">
        <v>6</v>
      </c>
      <c r="G10" s="21" t="s">
        <v>3</v>
      </c>
      <c r="H10" s="21" t="s">
        <v>8</v>
      </c>
      <c r="I10" s="21" t="s">
        <v>4</v>
      </c>
      <c r="J10" s="21" t="s">
        <v>9</v>
      </c>
      <c r="K10" s="22" t="s">
        <v>5</v>
      </c>
    </row>
    <row r="11" spans="1:15" s="54" customFormat="1" ht="27.95" customHeight="1" x14ac:dyDescent="0.25">
      <c r="A11" s="55">
        <v>1</v>
      </c>
      <c r="B11" s="56" t="s">
        <v>39</v>
      </c>
      <c r="C11" s="57" t="s">
        <v>40</v>
      </c>
      <c r="D11" s="58" t="s">
        <v>17</v>
      </c>
      <c r="E11" s="58" t="s">
        <v>24</v>
      </c>
      <c r="F11" s="58">
        <v>2</v>
      </c>
      <c r="G11" s="58" t="s">
        <v>7</v>
      </c>
      <c r="H11" s="59">
        <v>1035.6300000000001</v>
      </c>
      <c r="I11" s="59">
        <f>+H11*F11</f>
        <v>2071.2600000000002</v>
      </c>
      <c r="J11" s="60">
        <f>+I11*16%</f>
        <v>331.40160000000003</v>
      </c>
      <c r="K11" s="61">
        <f>J11+I11</f>
        <v>2402.6616000000004</v>
      </c>
    </row>
    <row r="12" spans="1:15" ht="32.1" customHeight="1" x14ac:dyDescent="0.25">
      <c r="A12" s="28">
        <v>2</v>
      </c>
      <c r="B12" s="50" t="s">
        <v>41</v>
      </c>
      <c r="C12" s="18" t="s">
        <v>42</v>
      </c>
      <c r="D12" s="19" t="s">
        <v>17</v>
      </c>
      <c r="E12" s="19" t="s">
        <v>24</v>
      </c>
      <c r="F12" s="19">
        <v>2</v>
      </c>
      <c r="G12" s="19" t="s">
        <v>7</v>
      </c>
      <c r="H12" s="23">
        <v>666.56</v>
      </c>
      <c r="I12" s="23">
        <f t="shared" ref="I12:I25" si="0">+H12*F12</f>
        <v>1333.12</v>
      </c>
      <c r="J12" s="24">
        <f>16%*I12</f>
        <v>213.29919999999998</v>
      </c>
      <c r="K12" s="25">
        <f>J12+I12</f>
        <v>1546.4191999999998</v>
      </c>
    </row>
    <row r="13" spans="1:15" ht="32.1" customHeight="1" x14ac:dyDescent="0.25">
      <c r="A13" s="28">
        <v>3</v>
      </c>
      <c r="B13" s="50"/>
      <c r="C13" s="18"/>
      <c r="D13" s="19"/>
      <c r="E13" s="19"/>
      <c r="F13" s="19"/>
      <c r="G13" s="19"/>
      <c r="H13" s="23"/>
      <c r="I13" s="23"/>
      <c r="J13" s="24"/>
      <c r="K13" s="25"/>
    </row>
    <row r="14" spans="1:15" ht="31.5" x14ac:dyDescent="0.25">
      <c r="A14" s="28">
        <v>4</v>
      </c>
      <c r="B14" s="50" t="s">
        <v>43</v>
      </c>
      <c r="C14" s="18" t="s">
        <v>44</v>
      </c>
      <c r="D14" s="19" t="s">
        <v>17</v>
      </c>
      <c r="E14" s="19" t="s">
        <v>24</v>
      </c>
      <c r="F14" s="19">
        <v>5</v>
      </c>
      <c r="G14" s="19" t="s">
        <v>7</v>
      </c>
      <c r="H14" s="23">
        <v>3485.3</v>
      </c>
      <c r="I14" s="23">
        <f t="shared" si="0"/>
        <v>17426.5</v>
      </c>
      <c r="J14" s="24">
        <f>+I14*16%</f>
        <v>2788.2400000000002</v>
      </c>
      <c r="K14" s="25">
        <f t="shared" ref="K14:K25" si="1">J14+I14</f>
        <v>20214.740000000002</v>
      </c>
    </row>
    <row r="15" spans="1:15" ht="31.5" x14ac:dyDescent="0.25">
      <c r="A15" s="28">
        <v>5</v>
      </c>
      <c r="B15" s="50" t="s">
        <v>46</v>
      </c>
      <c r="C15" s="18" t="s">
        <v>45</v>
      </c>
      <c r="D15" s="19" t="s">
        <v>17</v>
      </c>
      <c r="E15" s="19" t="s">
        <v>24</v>
      </c>
      <c r="F15" s="19">
        <v>5</v>
      </c>
      <c r="G15" s="19" t="s">
        <v>7</v>
      </c>
      <c r="H15" s="23">
        <v>2230.4699999999998</v>
      </c>
      <c r="I15" s="23">
        <f t="shared" si="0"/>
        <v>11152.349999999999</v>
      </c>
      <c r="J15" s="24">
        <f t="shared" ref="J15:J25" si="2">+I15*16%</f>
        <v>1784.3759999999997</v>
      </c>
      <c r="K15" s="25">
        <f t="shared" si="1"/>
        <v>12936.725999999999</v>
      </c>
    </row>
    <row r="16" spans="1:15" ht="31.5" x14ac:dyDescent="0.25">
      <c r="A16" s="28">
        <v>6</v>
      </c>
      <c r="B16" s="50" t="s">
        <v>47</v>
      </c>
      <c r="C16" s="31" t="s">
        <v>48</v>
      </c>
      <c r="D16" s="19" t="s">
        <v>17</v>
      </c>
      <c r="E16" s="19" t="s">
        <v>24</v>
      </c>
      <c r="F16" s="19">
        <v>5</v>
      </c>
      <c r="G16" s="19" t="s">
        <v>7</v>
      </c>
      <c r="H16" s="23">
        <v>2788.15</v>
      </c>
      <c r="I16" s="23">
        <f t="shared" si="0"/>
        <v>13940.75</v>
      </c>
      <c r="J16" s="24">
        <f t="shared" si="2"/>
        <v>2230.52</v>
      </c>
      <c r="K16" s="25">
        <f t="shared" si="1"/>
        <v>16171.27</v>
      </c>
    </row>
    <row r="17" spans="1:11" ht="31.5" x14ac:dyDescent="0.25">
      <c r="A17" s="28">
        <v>7</v>
      </c>
      <c r="B17" s="50" t="s">
        <v>49</v>
      </c>
      <c r="C17" s="31" t="s">
        <v>50</v>
      </c>
      <c r="D17" s="19" t="s">
        <v>17</v>
      </c>
      <c r="E17" s="19" t="s">
        <v>24</v>
      </c>
      <c r="F17" s="19">
        <v>3</v>
      </c>
      <c r="G17" s="19" t="s">
        <v>7</v>
      </c>
      <c r="H17" s="23">
        <v>2216.62</v>
      </c>
      <c r="I17" s="23">
        <f t="shared" si="0"/>
        <v>6649.86</v>
      </c>
      <c r="J17" s="24">
        <f t="shared" si="2"/>
        <v>1063.9775999999999</v>
      </c>
      <c r="K17" s="25">
        <f t="shared" si="1"/>
        <v>7713.8375999999998</v>
      </c>
    </row>
    <row r="18" spans="1:11" ht="31.5" x14ac:dyDescent="0.25">
      <c r="A18" s="28">
        <v>8</v>
      </c>
      <c r="B18" s="50" t="s">
        <v>51</v>
      </c>
      <c r="C18" s="31" t="s">
        <v>52</v>
      </c>
      <c r="D18" s="19" t="s">
        <v>17</v>
      </c>
      <c r="E18" s="19" t="s">
        <v>24</v>
      </c>
      <c r="F18" s="19">
        <v>3</v>
      </c>
      <c r="G18" s="19" t="s">
        <v>7</v>
      </c>
      <c r="H18" s="23">
        <v>428.94</v>
      </c>
      <c r="I18" s="23">
        <f t="shared" si="0"/>
        <v>1286.82</v>
      </c>
      <c r="J18" s="24">
        <f t="shared" si="2"/>
        <v>205.8912</v>
      </c>
      <c r="K18" s="25">
        <f t="shared" si="1"/>
        <v>1492.7112</v>
      </c>
    </row>
    <row r="19" spans="1:11" ht="31.5" x14ac:dyDescent="0.25">
      <c r="A19" s="28">
        <v>9</v>
      </c>
      <c r="B19" s="50"/>
      <c r="C19" s="31"/>
      <c r="D19" s="19" t="s">
        <v>17</v>
      </c>
      <c r="E19" s="19" t="s">
        <v>24</v>
      </c>
      <c r="F19" s="19">
        <v>2</v>
      </c>
      <c r="G19" s="19"/>
      <c r="H19" s="23"/>
      <c r="I19" s="23">
        <f t="shared" si="0"/>
        <v>0</v>
      </c>
      <c r="J19" s="24">
        <f t="shared" si="2"/>
        <v>0</v>
      </c>
      <c r="K19" s="25">
        <f t="shared" si="1"/>
        <v>0</v>
      </c>
    </row>
    <row r="20" spans="1:11" ht="31.5" x14ac:dyDescent="0.25">
      <c r="A20" s="28">
        <v>10</v>
      </c>
      <c r="B20" s="50" t="s">
        <v>53</v>
      </c>
      <c r="C20" s="31" t="s">
        <v>54</v>
      </c>
      <c r="D20" s="19" t="s">
        <v>17</v>
      </c>
      <c r="E20" s="19" t="s">
        <v>24</v>
      </c>
      <c r="F20" s="19">
        <v>2</v>
      </c>
      <c r="G20" s="19" t="s">
        <v>7</v>
      </c>
      <c r="H20" s="23">
        <v>10100.1</v>
      </c>
      <c r="I20" s="23">
        <f>+H20*F20</f>
        <v>20200.2</v>
      </c>
      <c r="J20" s="24">
        <f t="shared" si="2"/>
        <v>3232.0320000000002</v>
      </c>
      <c r="K20" s="25">
        <f>+J20+I20</f>
        <v>23432.232</v>
      </c>
    </row>
    <row r="21" spans="1:11" ht="31.5" x14ac:dyDescent="0.25">
      <c r="A21" s="28">
        <v>11</v>
      </c>
      <c r="B21" s="50" t="s">
        <v>55</v>
      </c>
      <c r="C21" s="31" t="s">
        <v>56</v>
      </c>
      <c r="D21" s="19" t="s">
        <v>17</v>
      </c>
      <c r="E21" s="19" t="s">
        <v>24</v>
      </c>
      <c r="F21" s="19">
        <v>5</v>
      </c>
      <c r="G21" s="19" t="s">
        <v>7</v>
      </c>
      <c r="H21" s="23">
        <v>99.42</v>
      </c>
      <c r="I21" s="23">
        <f>+H21*F21</f>
        <v>497.1</v>
      </c>
      <c r="J21" s="24">
        <f t="shared" si="2"/>
        <v>79.536000000000001</v>
      </c>
      <c r="K21" s="25">
        <f>+J21+I21</f>
        <v>576.63599999999997</v>
      </c>
    </row>
    <row r="22" spans="1:11" ht="31.5" x14ac:dyDescent="0.25">
      <c r="A22" s="28">
        <v>12</v>
      </c>
      <c r="B22" s="50" t="s">
        <v>57</v>
      </c>
      <c r="C22" s="31" t="s">
        <v>58</v>
      </c>
      <c r="D22" s="19" t="s">
        <v>17</v>
      </c>
      <c r="E22" s="19" t="s">
        <v>24</v>
      </c>
      <c r="F22" s="19">
        <v>2</v>
      </c>
      <c r="G22" s="19" t="s">
        <v>7</v>
      </c>
      <c r="H22" s="23">
        <v>70858.880000000005</v>
      </c>
      <c r="I22" s="23">
        <f>+H22*F22</f>
        <v>141717.76000000001</v>
      </c>
      <c r="J22" s="24">
        <f>+I22*16%</f>
        <v>22674.841600000003</v>
      </c>
      <c r="K22" s="25">
        <f>+J22+I22</f>
        <v>164392.60160000002</v>
      </c>
    </row>
    <row r="23" spans="1:11" ht="31.5" x14ac:dyDescent="0.25">
      <c r="A23" s="28">
        <v>13</v>
      </c>
      <c r="B23" s="50" t="s">
        <v>59</v>
      </c>
      <c r="C23" s="31" t="s">
        <v>60</v>
      </c>
      <c r="D23" s="19" t="s">
        <v>17</v>
      </c>
      <c r="E23" s="19" t="s">
        <v>24</v>
      </c>
      <c r="F23" s="19">
        <v>5</v>
      </c>
      <c r="G23" s="19" t="s">
        <v>7</v>
      </c>
      <c r="H23" s="23">
        <v>27963.79</v>
      </c>
      <c r="I23" s="23">
        <f>+H23*F23</f>
        <v>139818.95000000001</v>
      </c>
      <c r="J23" s="24">
        <f>+I23*16%</f>
        <v>22371.032000000003</v>
      </c>
      <c r="K23" s="25">
        <f>+J23+I23</f>
        <v>162189.98200000002</v>
      </c>
    </row>
    <row r="24" spans="1:11" ht="31.5" x14ac:dyDescent="0.25">
      <c r="A24" s="28">
        <v>14</v>
      </c>
      <c r="B24" s="50" t="s">
        <v>61</v>
      </c>
      <c r="C24" s="31" t="s">
        <v>62</v>
      </c>
      <c r="D24" s="19" t="s">
        <v>17</v>
      </c>
      <c r="E24" s="19" t="s">
        <v>24</v>
      </c>
      <c r="F24" s="19">
        <v>1</v>
      </c>
      <c r="G24" s="19" t="s">
        <v>7</v>
      </c>
      <c r="H24" s="23">
        <v>17431.97</v>
      </c>
      <c r="I24" s="23">
        <f t="shared" si="0"/>
        <v>17431.97</v>
      </c>
      <c r="J24" s="24">
        <f t="shared" si="2"/>
        <v>2789.1152000000002</v>
      </c>
      <c r="K24" s="25">
        <f t="shared" si="1"/>
        <v>20221.085200000001</v>
      </c>
    </row>
    <row r="25" spans="1:11" ht="32.25" thickBot="1" x14ac:dyDescent="0.3">
      <c r="A25" s="28">
        <v>15</v>
      </c>
      <c r="B25" s="50"/>
      <c r="C25" s="31"/>
      <c r="D25" s="19" t="s">
        <v>17</v>
      </c>
      <c r="E25" s="19" t="s">
        <v>24</v>
      </c>
      <c r="F25" s="19"/>
      <c r="G25" s="19"/>
      <c r="H25" s="23"/>
      <c r="I25" s="23">
        <f t="shared" si="0"/>
        <v>0</v>
      </c>
      <c r="J25" s="24">
        <f t="shared" si="2"/>
        <v>0</v>
      </c>
      <c r="K25" s="25">
        <f t="shared" si="1"/>
        <v>0</v>
      </c>
    </row>
    <row r="26" spans="1:11" ht="17.25" thickTop="1" thickBot="1" x14ac:dyDescent="0.3">
      <c r="A26" s="12"/>
      <c r="B26" s="47"/>
      <c r="C26" s="12"/>
      <c r="D26" s="12"/>
      <c r="E26" s="12"/>
      <c r="F26" s="12"/>
      <c r="G26" s="12"/>
      <c r="H26" s="13"/>
      <c r="I26" s="11">
        <f>SUM(I11:I25)</f>
        <v>373526.64</v>
      </c>
      <c r="J26" s="84">
        <f>SUM(J11:J25)</f>
        <v>59764.262400000007</v>
      </c>
      <c r="K26" s="10">
        <f>SUM(K11:K25)</f>
        <v>433290.90240000002</v>
      </c>
    </row>
    <row r="27" spans="1:11" ht="22.5" customHeight="1" thickTop="1" x14ac:dyDescent="0.25">
      <c r="A27" s="3"/>
      <c r="B27" s="52"/>
      <c r="C27" s="3"/>
      <c r="D27" s="3"/>
      <c r="E27" s="3"/>
      <c r="F27" s="3"/>
      <c r="G27" s="3"/>
      <c r="H27" s="3"/>
      <c r="I27" s="3"/>
      <c r="J27" s="3"/>
      <c r="K27" s="9"/>
    </row>
    <row r="28" spans="1:11" x14ac:dyDescent="0.25">
      <c r="C28" s="26"/>
      <c r="J28" s="8"/>
    </row>
    <row r="29" spans="1:11" x14ac:dyDescent="0.25">
      <c r="I29" s="8"/>
      <c r="K29" s="8"/>
    </row>
    <row r="34" spans="3:3" x14ac:dyDescent="0.25">
      <c r="C34" s="27"/>
    </row>
  </sheetData>
  <mergeCells count="6">
    <mergeCell ref="A8:D8"/>
    <mergeCell ref="H8:K8"/>
    <mergeCell ref="A1:K1"/>
    <mergeCell ref="A2:G2"/>
    <mergeCell ref="E5:J5"/>
    <mergeCell ref="I2:K2"/>
  </mergeCells>
  <hyperlinks>
    <hyperlink ref="A4" r:id="rId1" display="info@infinityhealth.co.mz"/>
  </hyperlinks>
  <printOptions horizontalCentered="1"/>
  <pageMargins left="0.51181102362204722" right="0.59055118110236227" top="0.74803149606299213" bottom="0.74803149606299213" header="0.31496062992125984" footer="0.31496062992125984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showGridLines="0" tabSelected="1" zoomScaleNormal="100" workbookViewId="0">
      <pane xSplit="1" ySplit="10" topLeftCell="B11" activePane="bottomRight" state="frozen"/>
      <selection pane="topRight" activeCell="C1" sqref="C1"/>
      <selection pane="bottomLeft" activeCell="A7" sqref="A7"/>
      <selection pane="bottomRight" activeCell="C11" sqref="C11"/>
    </sheetView>
  </sheetViews>
  <sheetFormatPr defaultRowHeight="15" x14ac:dyDescent="0.25"/>
  <cols>
    <col min="1" max="1" width="4.140625" customWidth="1"/>
    <col min="2" max="2" width="15" style="53" customWidth="1"/>
    <col min="3" max="3" width="55.140625" customWidth="1"/>
    <col min="4" max="4" width="10.42578125" customWidth="1"/>
    <col min="5" max="5" width="12.7109375" customWidth="1"/>
    <col min="6" max="6" width="7.140625" bestFit="1" customWidth="1"/>
    <col min="7" max="7" width="7.85546875" customWidth="1"/>
    <col min="8" max="8" width="14" customWidth="1"/>
    <col min="9" max="9" width="15.85546875" customWidth="1"/>
    <col min="10" max="10" width="15.140625" customWidth="1"/>
    <col min="11" max="11" width="20" customWidth="1"/>
    <col min="12" max="12" width="8.140625" customWidth="1"/>
    <col min="13" max="13" width="8.85546875" hidden="1" customWidth="1"/>
  </cols>
  <sheetData>
    <row r="1" spans="1:15" ht="30" customHeight="1" thickTop="1" thickBot="1" x14ac:dyDescent="0.3">
      <c r="A1" s="76" t="s">
        <v>38</v>
      </c>
      <c r="B1" s="76"/>
      <c r="C1" s="76"/>
      <c r="D1" s="76"/>
      <c r="E1" s="76"/>
      <c r="F1" s="76"/>
      <c r="G1" s="76"/>
      <c r="H1" s="76"/>
      <c r="I1" s="76"/>
      <c r="J1" s="76"/>
      <c r="K1" s="76"/>
      <c r="M1" s="7">
        <v>0.16</v>
      </c>
    </row>
    <row r="2" spans="1:15" ht="39.950000000000003" customHeight="1" thickTop="1" x14ac:dyDescent="0.25">
      <c r="A2" s="77"/>
      <c r="B2" s="78"/>
      <c r="C2" s="78"/>
      <c r="D2" s="78"/>
      <c r="E2" s="78"/>
      <c r="F2" s="78"/>
      <c r="G2" s="78"/>
      <c r="H2" s="71"/>
      <c r="I2" s="80" t="s">
        <v>37</v>
      </c>
      <c r="J2" s="80"/>
      <c r="K2" s="81"/>
      <c r="M2" s="7">
        <v>0.16</v>
      </c>
    </row>
    <row r="3" spans="1:15" ht="24.6" customHeight="1" x14ac:dyDescent="0.25">
      <c r="A3" s="41" t="s">
        <v>12</v>
      </c>
      <c r="B3" s="51"/>
      <c r="C3" s="42"/>
      <c r="D3" s="38"/>
      <c r="E3" s="35"/>
      <c r="F3" s="35"/>
      <c r="G3" s="35"/>
      <c r="H3" s="35"/>
      <c r="I3" s="35"/>
      <c r="J3" s="36"/>
      <c r="K3" s="37"/>
      <c r="M3" s="7"/>
    </row>
    <row r="4" spans="1:15" ht="16.350000000000001" customHeight="1" x14ac:dyDescent="0.25">
      <c r="A4" s="43" t="s">
        <v>13</v>
      </c>
      <c r="B4" s="51"/>
      <c r="C4" s="42"/>
      <c r="D4" s="38"/>
      <c r="E4" s="35"/>
      <c r="F4" s="35"/>
      <c r="G4" s="35"/>
      <c r="H4" s="35"/>
      <c r="I4" s="35"/>
      <c r="J4" s="36"/>
      <c r="K4" s="37"/>
      <c r="M4" s="7"/>
    </row>
    <row r="5" spans="1:15" ht="16.350000000000001" customHeight="1" x14ac:dyDescent="0.25">
      <c r="A5" s="44" t="s">
        <v>14</v>
      </c>
      <c r="B5" s="51"/>
      <c r="C5" s="42"/>
      <c r="D5" s="40"/>
      <c r="E5" s="79" t="s">
        <v>63</v>
      </c>
      <c r="F5" s="79"/>
      <c r="G5" s="79"/>
      <c r="H5" s="79"/>
      <c r="I5" s="79"/>
      <c r="J5" s="79"/>
      <c r="K5" s="30"/>
      <c r="O5" s="1"/>
    </row>
    <row r="6" spans="1:15" ht="14.45" customHeight="1" x14ac:dyDescent="0.25">
      <c r="A6" s="41" t="s">
        <v>15</v>
      </c>
      <c r="B6" s="51"/>
      <c r="C6" s="42"/>
      <c r="D6" s="39"/>
      <c r="E6" s="33"/>
      <c r="F6" s="45"/>
      <c r="G6" s="46"/>
      <c r="H6" s="34"/>
      <c r="I6" s="34"/>
      <c r="J6" s="29"/>
      <c r="K6" s="30"/>
      <c r="O6" s="1"/>
    </row>
    <row r="7" spans="1:15" ht="13.35" customHeight="1" x14ac:dyDescent="0.25">
      <c r="A7" s="41" t="s">
        <v>16</v>
      </c>
      <c r="B7" s="51"/>
      <c r="C7" s="42"/>
      <c r="D7" s="39"/>
      <c r="E7" s="33"/>
      <c r="F7" s="45"/>
      <c r="G7" s="46"/>
      <c r="H7" s="34"/>
      <c r="I7" s="34"/>
      <c r="J7" s="29"/>
      <c r="K7" s="30"/>
      <c r="O7" s="1"/>
    </row>
    <row r="8" spans="1:15" ht="20.100000000000001" customHeight="1" thickBot="1" x14ac:dyDescent="0.3">
      <c r="A8" s="72"/>
      <c r="B8" s="73"/>
      <c r="C8" s="73"/>
      <c r="D8" s="73"/>
      <c r="E8" s="67"/>
      <c r="F8" s="14"/>
      <c r="G8" s="14"/>
      <c r="H8" s="74"/>
      <c r="I8" s="74"/>
      <c r="J8" s="74"/>
      <c r="K8" s="75"/>
      <c r="O8" s="2"/>
    </row>
    <row r="9" spans="1:15" s="4" customFormat="1" ht="15.75" customHeight="1" thickTop="1" x14ac:dyDescent="0.25">
      <c r="A9" s="15">
        <v>1</v>
      </c>
      <c r="B9" s="48"/>
      <c r="C9" s="16">
        <v>2</v>
      </c>
      <c r="D9" s="16">
        <v>3</v>
      </c>
      <c r="E9" s="16"/>
      <c r="F9" s="16">
        <v>4</v>
      </c>
      <c r="G9" s="16">
        <v>5</v>
      </c>
      <c r="H9" s="16">
        <v>6</v>
      </c>
      <c r="I9" s="16">
        <v>7</v>
      </c>
      <c r="J9" s="16">
        <v>8</v>
      </c>
      <c r="K9" s="17">
        <v>9</v>
      </c>
      <c r="L9" s="5"/>
    </row>
    <row r="10" spans="1:15" ht="26.25" thickBot="1" x14ac:dyDescent="0.3">
      <c r="A10" s="20" t="s">
        <v>0</v>
      </c>
      <c r="B10" s="49" t="s">
        <v>10</v>
      </c>
      <c r="C10" s="21" t="s">
        <v>1</v>
      </c>
      <c r="D10" s="21" t="s">
        <v>2</v>
      </c>
      <c r="E10" s="21" t="s">
        <v>11</v>
      </c>
      <c r="F10" s="21" t="s">
        <v>6</v>
      </c>
      <c r="G10" s="21" t="s">
        <v>3</v>
      </c>
      <c r="H10" s="21" t="s">
        <v>8</v>
      </c>
      <c r="I10" s="21" t="s">
        <v>4</v>
      </c>
      <c r="J10" s="21" t="s">
        <v>9</v>
      </c>
      <c r="K10" s="22" t="s">
        <v>5</v>
      </c>
    </row>
    <row r="11" spans="1:15" s="54" customFormat="1" ht="27.95" customHeight="1" x14ac:dyDescent="0.25">
      <c r="A11" s="55">
        <v>1</v>
      </c>
      <c r="B11" s="56" t="s">
        <v>82</v>
      </c>
      <c r="C11" s="57" t="s">
        <v>83</v>
      </c>
      <c r="D11" s="58" t="s">
        <v>17</v>
      </c>
      <c r="E11" s="58" t="s">
        <v>24</v>
      </c>
      <c r="F11" s="58">
        <v>1</v>
      </c>
      <c r="G11" s="58" t="s">
        <v>7</v>
      </c>
      <c r="H11" s="59">
        <v>127.53</v>
      </c>
      <c r="I11" s="59">
        <f>+H11*F11</f>
        <v>127.53</v>
      </c>
      <c r="J11" s="60">
        <f>+I11*16%</f>
        <v>20.404800000000002</v>
      </c>
      <c r="K11" s="61">
        <f>J11+I11</f>
        <v>147.9348</v>
      </c>
    </row>
    <row r="12" spans="1:15" ht="32.1" customHeight="1" x14ac:dyDescent="0.25">
      <c r="A12" s="28">
        <v>2</v>
      </c>
      <c r="B12" s="50"/>
      <c r="C12" s="18"/>
      <c r="D12" s="19" t="s">
        <v>17</v>
      </c>
      <c r="E12" s="19" t="s">
        <v>24</v>
      </c>
      <c r="F12" s="19">
        <v>1</v>
      </c>
      <c r="G12" s="19" t="s">
        <v>7</v>
      </c>
      <c r="H12" s="23"/>
      <c r="I12" s="23">
        <f t="shared" ref="I12:I26" si="0">+H12*F12</f>
        <v>0</v>
      </c>
      <c r="J12" s="24">
        <f>16%*I12</f>
        <v>0</v>
      </c>
      <c r="K12" s="25">
        <f>J12+I12</f>
        <v>0</v>
      </c>
    </row>
    <row r="13" spans="1:15" ht="31.5" x14ac:dyDescent="0.25">
      <c r="A13" s="28">
        <v>3</v>
      </c>
      <c r="B13" s="50"/>
      <c r="C13" s="18"/>
      <c r="D13" s="19" t="s">
        <v>17</v>
      </c>
      <c r="E13" s="19" t="s">
        <v>24</v>
      </c>
      <c r="F13" s="19"/>
      <c r="G13" s="19"/>
      <c r="H13" s="23"/>
      <c r="I13" s="23">
        <f t="shared" si="0"/>
        <v>0</v>
      </c>
      <c r="J13" s="24"/>
      <c r="K13" s="25">
        <f t="shared" ref="K13:K26" si="1">J13+I13</f>
        <v>0</v>
      </c>
    </row>
    <row r="14" spans="1:15" ht="31.5" x14ac:dyDescent="0.25">
      <c r="A14" s="28">
        <v>4</v>
      </c>
      <c r="B14" s="50" t="s">
        <v>66</v>
      </c>
      <c r="C14" s="31" t="s">
        <v>67</v>
      </c>
      <c r="D14" s="19" t="s">
        <v>17</v>
      </c>
      <c r="E14" s="19" t="s">
        <v>24</v>
      </c>
      <c r="F14" s="19">
        <v>1</v>
      </c>
      <c r="G14" s="19" t="s">
        <v>7</v>
      </c>
      <c r="H14" s="23">
        <v>55.55</v>
      </c>
      <c r="I14" s="23">
        <f t="shared" si="0"/>
        <v>55.55</v>
      </c>
      <c r="J14" s="24">
        <f>16%*I14</f>
        <v>8.8879999999999999</v>
      </c>
      <c r="K14" s="25">
        <f t="shared" si="1"/>
        <v>64.438000000000002</v>
      </c>
    </row>
    <row r="15" spans="1:15" ht="47.25" x14ac:dyDescent="0.25">
      <c r="A15" s="28">
        <v>5</v>
      </c>
      <c r="B15" s="50" t="s">
        <v>68</v>
      </c>
      <c r="C15" s="31" t="s">
        <v>69</v>
      </c>
      <c r="D15" s="19" t="s">
        <v>17</v>
      </c>
      <c r="E15" s="19" t="s">
        <v>24</v>
      </c>
      <c r="F15" s="19">
        <v>20</v>
      </c>
      <c r="G15" s="19" t="s">
        <v>7</v>
      </c>
      <c r="H15" s="23">
        <v>1251.08</v>
      </c>
      <c r="I15" s="23">
        <f t="shared" si="0"/>
        <v>25021.599999999999</v>
      </c>
      <c r="J15" s="24">
        <f>16%*I15</f>
        <v>4003.4559999999997</v>
      </c>
      <c r="K15" s="25">
        <f t="shared" si="1"/>
        <v>29025.055999999997</v>
      </c>
    </row>
    <row r="16" spans="1:15" ht="31.5" x14ac:dyDescent="0.25">
      <c r="A16" s="28">
        <v>6</v>
      </c>
      <c r="B16" s="50" t="s">
        <v>70</v>
      </c>
      <c r="C16" s="31" t="s">
        <v>71</v>
      </c>
      <c r="D16" s="19" t="s">
        <v>17</v>
      </c>
      <c r="E16" s="19" t="s">
        <v>24</v>
      </c>
      <c r="F16" s="19">
        <v>2</v>
      </c>
      <c r="G16" s="19" t="s">
        <v>7</v>
      </c>
      <c r="H16" s="23">
        <v>34126.01</v>
      </c>
      <c r="I16" s="23">
        <f t="shared" si="0"/>
        <v>68252.02</v>
      </c>
      <c r="J16" s="24">
        <f t="shared" ref="J16" si="2">+I16*16%</f>
        <v>10920.323200000001</v>
      </c>
      <c r="K16" s="25">
        <f t="shared" si="1"/>
        <v>79172.343200000003</v>
      </c>
    </row>
    <row r="17" spans="1:11" ht="31.5" x14ac:dyDescent="0.25">
      <c r="A17" s="28">
        <v>7</v>
      </c>
      <c r="B17" s="50" t="s">
        <v>74</v>
      </c>
      <c r="C17" s="31" t="s">
        <v>76</v>
      </c>
      <c r="D17" s="19" t="s">
        <v>17</v>
      </c>
      <c r="E17" s="19" t="s">
        <v>24</v>
      </c>
      <c r="F17" s="19">
        <v>2000</v>
      </c>
      <c r="G17" s="19" t="s">
        <v>7</v>
      </c>
      <c r="H17" s="23">
        <v>27.47</v>
      </c>
      <c r="I17" s="23">
        <f t="shared" si="0"/>
        <v>54940</v>
      </c>
      <c r="J17" s="24">
        <f>16%*I17</f>
        <v>8790.4</v>
      </c>
      <c r="K17" s="25">
        <f t="shared" si="1"/>
        <v>63730.400000000001</v>
      </c>
    </row>
    <row r="18" spans="1:11" ht="31.5" x14ac:dyDescent="0.25">
      <c r="A18" s="28" t="s">
        <v>72</v>
      </c>
      <c r="B18" s="50" t="s">
        <v>75</v>
      </c>
      <c r="C18" s="31" t="s">
        <v>77</v>
      </c>
      <c r="D18" s="19" t="s">
        <v>17</v>
      </c>
      <c r="E18" s="19" t="s">
        <v>24</v>
      </c>
      <c r="F18" s="19">
        <v>2000</v>
      </c>
      <c r="G18" s="19" t="s">
        <v>7</v>
      </c>
      <c r="H18" s="23">
        <v>25.45</v>
      </c>
      <c r="I18" s="23">
        <f t="shared" si="0"/>
        <v>50900</v>
      </c>
      <c r="J18" s="24">
        <f>16%*I18</f>
        <v>8144</v>
      </c>
      <c r="K18" s="25">
        <f>+J18+I18</f>
        <v>59044</v>
      </c>
    </row>
    <row r="19" spans="1:11" ht="31.5" x14ac:dyDescent="0.25">
      <c r="A19" s="28" t="s">
        <v>73</v>
      </c>
      <c r="B19" s="50" t="s">
        <v>78</v>
      </c>
      <c r="C19" s="31" t="s">
        <v>79</v>
      </c>
      <c r="D19" s="19" t="s">
        <v>17</v>
      </c>
      <c r="E19" s="19" t="s">
        <v>24</v>
      </c>
      <c r="F19" s="19">
        <v>2000</v>
      </c>
      <c r="G19" s="19" t="s">
        <v>7</v>
      </c>
      <c r="H19" s="23">
        <v>25.45</v>
      </c>
      <c r="I19" s="23">
        <f t="shared" si="0"/>
        <v>50900</v>
      </c>
      <c r="J19" s="24">
        <f>16%*I19</f>
        <v>8144</v>
      </c>
      <c r="K19" s="25">
        <f>+J19+I19</f>
        <v>59044</v>
      </c>
    </row>
    <row r="20" spans="1:11" ht="31.5" x14ac:dyDescent="0.25">
      <c r="A20" s="28">
        <v>8</v>
      </c>
      <c r="B20" s="50" t="s">
        <v>64</v>
      </c>
      <c r="C20" s="31" t="s">
        <v>65</v>
      </c>
      <c r="D20" s="19" t="s">
        <v>17</v>
      </c>
      <c r="E20" s="19" t="s">
        <v>24</v>
      </c>
      <c r="F20" s="19">
        <v>2</v>
      </c>
      <c r="G20" s="19" t="s">
        <v>7</v>
      </c>
      <c r="H20" s="23">
        <v>5925.22</v>
      </c>
      <c r="I20" s="23">
        <f t="shared" si="0"/>
        <v>11850.44</v>
      </c>
      <c r="J20" s="24">
        <f>+I20*16%</f>
        <v>1896.0704000000001</v>
      </c>
      <c r="K20" s="25">
        <f>+J20+I20</f>
        <v>13746.510400000001</v>
      </c>
    </row>
    <row r="21" spans="1:11" ht="31.5" x14ac:dyDescent="0.25">
      <c r="A21" s="28">
        <v>9</v>
      </c>
      <c r="B21" s="50" t="s">
        <v>84</v>
      </c>
      <c r="C21" s="31" t="s">
        <v>89</v>
      </c>
      <c r="D21" s="19" t="s">
        <v>17</v>
      </c>
      <c r="E21" s="19" t="s">
        <v>24</v>
      </c>
      <c r="F21" s="19">
        <v>500</v>
      </c>
      <c r="G21" s="19" t="s">
        <v>7</v>
      </c>
      <c r="H21" s="23">
        <v>93.83</v>
      </c>
      <c r="I21" s="23">
        <f>+H21*F21</f>
        <v>46915</v>
      </c>
      <c r="J21" s="24">
        <f>16%*I21</f>
        <v>7506.4000000000005</v>
      </c>
      <c r="K21" s="25">
        <f>+J21+I21</f>
        <v>54421.4</v>
      </c>
    </row>
    <row r="22" spans="1:11" ht="31.5" x14ac:dyDescent="0.25">
      <c r="A22" s="28" t="s">
        <v>85</v>
      </c>
      <c r="B22" s="50" t="s">
        <v>90</v>
      </c>
      <c r="C22" s="31" t="s">
        <v>91</v>
      </c>
      <c r="D22" s="19" t="s">
        <v>17</v>
      </c>
      <c r="E22" s="19" t="s">
        <v>24</v>
      </c>
      <c r="F22" s="19">
        <v>500</v>
      </c>
      <c r="G22" s="19" t="s">
        <v>7</v>
      </c>
      <c r="H22" s="23">
        <v>93.83</v>
      </c>
      <c r="I22" s="23">
        <f>+H22*F22</f>
        <v>46915</v>
      </c>
      <c r="J22" s="24">
        <f>+I22*16%</f>
        <v>7506.4000000000005</v>
      </c>
      <c r="K22" s="25">
        <f>+J22+I22</f>
        <v>54421.4</v>
      </c>
    </row>
    <row r="23" spans="1:11" ht="31.5" x14ac:dyDescent="0.25">
      <c r="A23" s="28" t="s">
        <v>86</v>
      </c>
      <c r="B23" s="50" t="s">
        <v>92</v>
      </c>
      <c r="C23" s="31" t="s">
        <v>93</v>
      </c>
      <c r="D23" s="19" t="s">
        <v>17</v>
      </c>
      <c r="E23" s="19" t="s">
        <v>24</v>
      </c>
      <c r="F23" s="19">
        <v>500</v>
      </c>
      <c r="G23" s="19" t="s">
        <v>7</v>
      </c>
      <c r="H23" s="23">
        <v>93.83</v>
      </c>
      <c r="I23" s="23">
        <f>+H23*F23</f>
        <v>46915</v>
      </c>
      <c r="J23" s="24">
        <f>16%*I23</f>
        <v>7506.4000000000005</v>
      </c>
      <c r="K23" s="25">
        <f>+J23+I23</f>
        <v>54421.4</v>
      </c>
    </row>
    <row r="24" spans="1:11" ht="31.5" x14ac:dyDescent="0.25">
      <c r="A24" s="28" t="s">
        <v>87</v>
      </c>
      <c r="B24" s="50" t="s">
        <v>94</v>
      </c>
      <c r="C24" s="31" t="s">
        <v>95</v>
      </c>
      <c r="D24" s="19" t="s">
        <v>17</v>
      </c>
      <c r="E24" s="19" t="s">
        <v>24</v>
      </c>
      <c r="F24" s="19">
        <v>500</v>
      </c>
      <c r="G24" s="19" t="s">
        <v>7</v>
      </c>
      <c r="H24" s="23">
        <v>93.83</v>
      </c>
      <c r="I24" s="23">
        <f>+H24*F24</f>
        <v>46915</v>
      </c>
      <c r="J24" s="24">
        <f>16%*I24</f>
        <v>7506.4000000000005</v>
      </c>
      <c r="K24" s="25">
        <f>+J24+I24</f>
        <v>54421.4</v>
      </c>
    </row>
    <row r="25" spans="1:11" ht="31.5" x14ac:dyDescent="0.25">
      <c r="A25" s="28" t="s">
        <v>88</v>
      </c>
      <c r="B25" s="50" t="s">
        <v>96</v>
      </c>
      <c r="C25" s="31" t="s">
        <v>97</v>
      </c>
      <c r="D25" s="19" t="s">
        <v>17</v>
      </c>
      <c r="E25" s="19" t="s">
        <v>24</v>
      </c>
      <c r="F25" s="19">
        <v>500</v>
      </c>
      <c r="G25" s="19" t="s">
        <v>7</v>
      </c>
      <c r="H25" s="23">
        <v>93.83</v>
      </c>
      <c r="I25" s="23">
        <f>+H25*F25</f>
        <v>46915</v>
      </c>
      <c r="J25" s="24">
        <f>16%*I25</f>
        <v>7506.4000000000005</v>
      </c>
      <c r="K25" s="25">
        <f>+J25+I25</f>
        <v>54421.4</v>
      </c>
    </row>
    <row r="26" spans="1:11" ht="32.25" thickBot="1" x14ac:dyDescent="0.3">
      <c r="A26" s="28">
        <v>10</v>
      </c>
      <c r="B26" s="50" t="s">
        <v>80</v>
      </c>
      <c r="C26" s="31" t="s">
        <v>81</v>
      </c>
      <c r="D26" s="19" t="s">
        <v>17</v>
      </c>
      <c r="E26" s="19" t="s">
        <v>24</v>
      </c>
      <c r="F26" s="19">
        <v>10</v>
      </c>
      <c r="G26" s="19" t="s">
        <v>7</v>
      </c>
      <c r="H26" s="23">
        <v>276.11</v>
      </c>
      <c r="I26" s="23">
        <f t="shared" si="0"/>
        <v>2761.1000000000004</v>
      </c>
      <c r="J26" s="24">
        <f>16%*I26</f>
        <v>441.77600000000007</v>
      </c>
      <c r="K26" s="25">
        <f t="shared" si="1"/>
        <v>3202.8760000000002</v>
      </c>
    </row>
    <row r="27" spans="1:11" ht="17.25" thickTop="1" thickBot="1" x14ac:dyDescent="0.3">
      <c r="A27" s="12"/>
      <c r="B27" s="68"/>
      <c r="C27" s="12"/>
      <c r="D27" s="12"/>
      <c r="E27" s="12"/>
      <c r="F27" s="12"/>
      <c r="G27" s="12"/>
      <c r="H27" s="13"/>
      <c r="I27" s="11">
        <f>SUM(I11:I26)</f>
        <v>499383.24</v>
      </c>
      <c r="J27" s="6">
        <f>SUM(J11:J26)</f>
        <v>79901.318399999989</v>
      </c>
      <c r="K27" s="10">
        <f>SUM(K11:K26)</f>
        <v>579284.55840000021</v>
      </c>
    </row>
    <row r="28" spans="1:11" ht="22.5" customHeight="1" thickTop="1" x14ac:dyDescent="0.25">
      <c r="A28" s="3"/>
      <c r="B28" s="52"/>
      <c r="C28" s="3"/>
      <c r="D28" s="3"/>
      <c r="E28" s="3"/>
      <c r="F28" s="3"/>
      <c r="G28" s="3"/>
      <c r="H28" s="3"/>
      <c r="I28" s="3"/>
      <c r="J28" s="3"/>
      <c r="K28" s="9"/>
    </row>
    <row r="29" spans="1:11" x14ac:dyDescent="0.25">
      <c r="C29" s="26"/>
      <c r="J29" s="8"/>
    </row>
    <row r="30" spans="1:11" x14ac:dyDescent="0.25">
      <c r="I30" s="8"/>
      <c r="K30" s="8"/>
    </row>
    <row r="35" spans="3:3" x14ac:dyDescent="0.25">
      <c r="C35" s="27"/>
    </row>
  </sheetData>
  <mergeCells count="6">
    <mergeCell ref="A1:K1"/>
    <mergeCell ref="A2:G2"/>
    <mergeCell ref="I2:K2"/>
    <mergeCell ref="E5:J5"/>
    <mergeCell ref="A8:D8"/>
    <mergeCell ref="H8:K8"/>
  </mergeCells>
  <hyperlinks>
    <hyperlink ref="A4" r:id="rId1" display="info@infinityhealth.co.mz"/>
  </hyperlinks>
  <printOptions horizontalCentered="1"/>
  <pageMargins left="0.51181102362204722" right="0.59055118110236227" top="0.74803149606299213" bottom="0.74803149606299213" header="0.31496062992125984" footer="0.31496062992125984"/>
  <pageSetup scale="7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L8"/>
  <sheetViews>
    <sheetView workbookViewId="0">
      <selection activeCell="A8" sqref="A8"/>
    </sheetView>
  </sheetViews>
  <sheetFormatPr defaultRowHeight="15" x14ac:dyDescent="0.25"/>
  <sheetData>
    <row r="6" spans="2:12" ht="35.25" x14ac:dyDescent="0.25">
      <c r="B6" s="82" t="s">
        <v>33</v>
      </c>
      <c r="C6" s="82"/>
      <c r="D6" s="82"/>
      <c r="E6" s="82"/>
      <c r="F6" s="82"/>
      <c r="G6" s="82"/>
      <c r="H6" s="82"/>
      <c r="I6" s="82"/>
      <c r="J6" s="82"/>
      <c r="K6" s="82"/>
      <c r="L6" s="82"/>
    </row>
    <row r="7" spans="2:12" ht="107.25" customHeight="1" x14ac:dyDescent="0.25">
      <c r="B7" s="83" t="s">
        <v>34</v>
      </c>
      <c r="C7" s="83"/>
      <c r="D7" s="83"/>
      <c r="E7" s="83"/>
      <c r="F7" s="83"/>
      <c r="G7" s="83"/>
      <c r="H7" s="83"/>
      <c r="I7" s="83"/>
      <c r="J7" s="83"/>
      <c r="K7" s="83"/>
      <c r="L7" s="83"/>
    </row>
    <row r="8" spans="2:12" ht="75" customHeight="1" x14ac:dyDescent="0.25">
      <c r="B8" s="83" t="s">
        <v>35</v>
      </c>
      <c r="C8" s="83"/>
      <c r="D8" s="83"/>
      <c r="E8" s="83"/>
      <c r="F8" s="83"/>
      <c r="G8" s="83"/>
      <c r="H8" s="83"/>
      <c r="I8" s="83"/>
      <c r="J8" s="83"/>
      <c r="K8" s="83"/>
      <c r="L8" s="83"/>
    </row>
  </sheetData>
  <mergeCells count="3">
    <mergeCell ref="B6:L6"/>
    <mergeCell ref="B7:L7"/>
    <mergeCell ref="B8:L8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"/>
  <sheetViews>
    <sheetView workbookViewId="0">
      <selection activeCell="A2" sqref="A2:B3"/>
    </sheetView>
  </sheetViews>
  <sheetFormatPr defaultRowHeight="15" x14ac:dyDescent="0.25"/>
  <cols>
    <col min="1" max="1" width="55.85546875" customWidth="1"/>
    <col min="2" max="2" width="8.7109375" style="62"/>
  </cols>
  <sheetData>
    <row r="2" spans="1:2" ht="15.75" x14ac:dyDescent="0.25">
      <c r="A2" s="65" t="s">
        <v>19</v>
      </c>
      <c r="B2" s="66" t="s">
        <v>20</v>
      </c>
    </row>
    <row r="3" spans="1:2" ht="31.5" x14ac:dyDescent="0.25">
      <c r="A3" s="64" t="s">
        <v>21</v>
      </c>
      <c r="B3" s="63">
        <v>50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showGridLines="0" zoomScaleNormal="100" workbookViewId="0">
      <pane xSplit="1" ySplit="10" topLeftCell="B11" activePane="bottomRight" state="frozen"/>
      <selection pane="topRight" activeCell="C1" sqref="C1"/>
      <selection pane="bottomLeft" activeCell="A7" sqref="A7"/>
      <selection pane="bottomRight" activeCell="K12" sqref="K12"/>
    </sheetView>
  </sheetViews>
  <sheetFormatPr defaultRowHeight="15" x14ac:dyDescent="0.25"/>
  <cols>
    <col min="1" max="1" width="4.140625" customWidth="1"/>
    <col min="2" max="2" width="15" style="53" customWidth="1"/>
    <col min="3" max="3" width="55.140625" customWidth="1"/>
    <col min="4" max="4" width="10.42578125" customWidth="1"/>
    <col min="5" max="5" width="12.7109375" customWidth="1"/>
    <col min="6" max="6" width="7.140625" bestFit="1" customWidth="1"/>
    <col min="7" max="7" width="7.85546875" customWidth="1"/>
    <col min="8" max="8" width="14" customWidth="1"/>
    <col min="9" max="9" width="15.85546875" customWidth="1"/>
    <col min="10" max="10" width="15.140625" customWidth="1"/>
    <col min="11" max="11" width="20" customWidth="1"/>
    <col min="12" max="12" width="8.140625" customWidth="1"/>
    <col min="13" max="13" width="8.85546875" hidden="1" customWidth="1"/>
  </cols>
  <sheetData>
    <row r="1" spans="1:15" ht="30" customHeight="1" thickTop="1" thickBot="1" x14ac:dyDescent="0.3">
      <c r="A1" s="76" t="s">
        <v>23</v>
      </c>
      <c r="B1" s="76"/>
      <c r="C1" s="76"/>
      <c r="D1" s="76"/>
      <c r="E1" s="76"/>
      <c r="F1" s="76"/>
      <c r="G1" s="76"/>
      <c r="H1" s="76"/>
      <c r="I1" s="76"/>
      <c r="J1" s="76"/>
      <c r="K1" s="76"/>
      <c r="M1" s="7">
        <v>0.16</v>
      </c>
    </row>
    <row r="2" spans="1:15" ht="39.950000000000003" customHeight="1" thickTop="1" x14ac:dyDescent="0.25">
      <c r="A2" s="77"/>
      <c r="B2" s="78"/>
      <c r="C2" s="78"/>
      <c r="D2" s="78"/>
      <c r="E2" s="78"/>
      <c r="F2" s="78"/>
      <c r="G2" s="78"/>
      <c r="H2" s="71"/>
      <c r="I2" s="80" t="s">
        <v>22</v>
      </c>
      <c r="J2" s="80"/>
      <c r="K2" s="81"/>
      <c r="M2" s="7">
        <v>0.16</v>
      </c>
    </row>
    <row r="3" spans="1:15" ht="24.6" customHeight="1" x14ac:dyDescent="0.25">
      <c r="A3" s="41" t="s">
        <v>12</v>
      </c>
      <c r="B3" s="51"/>
      <c r="C3" s="42"/>
      <c r="D3" s="38"/>
      <c r="E3" s="35"/>
      <c r="F3" s="35"/>
      <c r="G3" s="35"/>
      <c r="H3" s="35"/>
      <c r="I3" s="35"/>
      <c r="J3" s="36"/>
      <c r="K3" s="37"/>
      <c r="M3" s="7"/>
    </row>
    <row r="4" spans="1:15" ht="16.350000000000001" customHeight="1" x14ac:dyDescent="0.25">
      <c r="A4" s="43" t="s">
        <v>13</v>
      </c>
      <c r="B4" s="51"/>
      <c r="C4" s="42"/>
      <c r="D4" s="38"/>
      <c r="E4" s="35"/>
      <c r="F4" s="35"/>
      <c r="G4" s="35"/>
      <c r="H4" s="35"/>
      <c r="I4" s="35"/>
      <c r="J4" s="36"/>
      <c r="K4" s="37"/>
      <c r="M4" s="7"/>
    </row>
    <row r="5" spans="1:15" ht="16.350000000000001" customHeight="1" x14ac:dyDescent="0.25">
      <c r="A5" s="44" t="s">
        <v>14</v>
      </c>
      <c r="B5" s="51"/>
      <c r="C5" s="42"/>
      <c r="D5" s="40"/>
      <c r="E5" s="79" t="s">
        <v>25</v>
      </c>
      <c r="F5" s="79"/>
      <c r="G5" s="79"/>
      <c r="H5" s="79"/>
      <c r="I5" s="79"/>
      <c r="J5" s="79"/>
      <c r="K5" s="30"/>
      <c r="O5" s="1"/>
    </row>
    <row r="6" spans="1:15" ht="14.45" customHeight="1" x14ac:dyDescent="0.25">
      <c r="A6" s="41" t="s">
        <v>15</v>
      </c>
      <c r="B6" s="51"/>
      <c r="C6" s="42"/>
      <c r="D6" s="39"/>
      <c r="E6" s="33"/>
      <c r="F6" s="45"/>
      <c r="G6" s="46"/>
      <c r="H6" s="34"/>
      <c r="I6" s="34"/>
      <c r="J6" s="29"/>
      <c r="K6" s="30"/>
      <c r="O6" s="1"/>
    </row>
    <row r="7" spans="1:15" ht="13.35" customHeight="1" x14ac:dyDescent="0.25">
      <c r="A7" s="41" t="s">
        <v>16</v>
      </c>
      <c r="B7" s="51"/>
      <c r="C7" s="42"/>
      <c r="D7" s="39"/>
      <c r="E7" s="33"/>
      <c r="F7" s="45"/>
      <c r="G7" s="46"/>
      <c r="H7" s="34"/>
      <c r="I7" s="34"/>
      <c r="J7" s="29"/>
      <c r="K7" s="30"/>
      <c r="O7" s="1"/>
    </row>
    <row r="8" spans="1:15" ht="20.100000000000001" customHeight="1" thickBot="1" x14ac:dyDescent="0.3">
      <c r="A8" s="72"/>
      <c r="B8" s="73"/>
      <c r="C8" s="73"/>
      <c r="D8" s="73"/>
      <c r="E8" s="69"/>
      <c r="F8" s="14"/>
      <c r="G8" s="14"/>
      <c r="H8" s="74"/>
      <c r="I8" s="74"/>
      <c r="J8" s="74"/>
      <c r="K8" s="75"/>
      <c r="O8" s="2"/>
    </row>
    <row r="9" spans="1:15" s="4" customFormat="1" ht="15.75" customHeight="1" thickTop="1" x14ac:dyDescent="0.25">
      <c r="A9" s="15">
        <v>1</v>
      </c>
      <c r="B9" s="48"/>
      <c r="C9" s="16">
        <v>2</v>
      </c>
      <c r="D9" s="16">
        <v>3</v>
      </c>
      <c r="E9" s="16"/>
      <c r="F9" s="16">
        <v>4</v>
      </c>
      <c r="G9" s="16">
        <v>5</v>
      </c>
      <c r="H9" s="16">
        <v>6</v>
      </c>
      <c r="I9" s="16">
        <v>7</v>
      </c>
      <c r="J9" s="16">
        <v>8</v>
      </c>
      <c r="K9" s="17">
        <v>9</v>
      </c>
      <c r="L9" s="5"/>
    </row>
    <row r="10" spans="1:15" ht="26.25" thickBot="1" x14ac:dyDescent="0.3">
      <c r="A10" s="20" t="s">
        <v>0</v>
      </c>
      <c r="B10" s="49" t="s">
        <v>10</v>
      </c>
      <c r="C10" s="21" t="s">
        <v>1</v>
      </c>
      <c r="D10" s="21" t="s">
        <v>2</v>
      </c>
      <c r="E10" s="21" t="s">
        <v>11</v>
      </c>
      <c r="F10" s="21" t="s">
        <v>6</v>
      </c>
      <c r="G10" s="21" t="s">
        <v>3</v>
      </c>
      <c r="H10" s="21" t="s">
        <v>8</v>
      </c>
      <c r="I10" s="21" t="s">
        <v>4</v>
      </c>
      <c r="J10" s="21" t="s">
        <v>9</v>
      </c>
      <c r="K10" s="22" t="s">
        <v>5</v>
      </c>
    </row>
    <row r="11" spans="1:15" s="54" customFormat="1" ht="27.95" customHeight="1" x14ac:dyDescent="0.25">
      <c r="A11" s="55">
        <v>1</v>
      </c>
      <c r="B11" s="56" t="s">
        <v>31</v>
      </c>
      <c r="C11" s="57" t="s">
        <v>32</v>
      </c>
      <c r="D11" s="58" t="s">
        <v>17</v>
      </c>
      <c r="E11" s="58" t="s">
        <v>24</v>
      </c>
      <c r="F11" s="58">
        <v>2</v>
      </c>
      <c r="G11" s="58" t="s">
        <v>18</v>
      </c>
      <c r="H11" s="59">
        <v>9515</v>
      </c>
      <c r="I11" s="59">
        <f>+H11*F11</f>
        <v>19030</v>
      </c>
      <c r="J11" s="60">
        <v>0</v>
      </c>
      <c r="K11" s="61">
        <f>J11+I11</f>
        <v>19030</v>
      </c>
    </row>
    <row r="12" spans="1:15" ht="32.1" customHeight="1" x14ac:dyDescent="0.25">
      <c r="A12" s="28">
        <v>2</v>
      </c>
      <c r="B12" s="50">
        <v>16140071</v>
      </c>
      <c r="C12" s="18" t="s">
        <v>26</v>
      </c>
      <c r="D12" s="19" t="s">
        <v>27</v>
      </c>
      <c r="E12" s="19" t="s">
        <v>24</v>
      </c>
      <c r="F12" s="19">
        <v>2</v>
      </c>
      <c r="G12" s="19" t="s">
        <v>18</v>
      </c>
      <c r="H12" s="23">
        <v>41450.03</v>
      </c>
      <c r="I12" s="23">
        <f t="shared" ref="I12:I14" si="0">+H12*F12</f>
        <v>82900.06</v>
      </c>
      <c r="J12" s="24"/>
      <c r="K12" s="25">
        <f>J12+I12</f>
        <v>82900.06</v>
      </c>
    </row>
    <row r="13" spans="1:15" ht="31.5" x14ac:dyDescent="0.25">
      <c r="A13" s="28">
        <v>3</v>
      </c>
      <c r="B13" s="50" t="s">
        <v>29</v>
      </c>
      <c r="C13" s="18" t="s">
        <v>30</v>
      </c>
      <c r="D13" s="19" t="s">
        <v>17</v>
      </c>
      <c r="E13" s="19" t="s">
        <v>24</v>
      </c>
      <c r="F13" s="19">
        <v>2</v>
      </c>
      <c r="G13" s="19" t="s">
        <v>18</v>
      </c>
      <c r="H13" s="23">
        <v>39691.800000000003</v>
      </c>
      <c r="I13" s="23">
        <f t="shared" si="0"/>
        <v>79383.600000000006</v>
      </c>
      <c r="J13" s="24"/>
      <c r="K13" s="25">
        <f t="shared" ref="K13:K14" si="1">J13+I13</f>
        <v>79383.600000000006</v>
      </c>
    </row>
    <row r="14" spans="1:15" ht="32.25" thickBot="1" x14ac:dyDescent="0.3">
      <c r="A14" s="28">
        <v>4</v>
      </c>
      <c r="B14" s="50">
        <v>10010072</v>
      </c>
      <c r="C14" s="31" t="s">
        <v>28</v>
      </c>
      <c r="D14" s="19" t="s">
        <v>17</v>
      </c>
      <c r="E14" s="19" t="s">
        <v>24</v>
      </c>
      <c r="F14" s="19">
        <v>4</v>
      </c>
      <c r="G14" s="19" t="s">
        <v>18</v>
      </c>
      <c r="H14" s="23">
        <v>40748.410000000003</v>
      </c>
      <c r="I14" s="23">
        <f t="shared" si="0"/>
        <v>162993.64000000001</v>
      </c>
      <c r="J14" s="24">
        <v>0</v>
      </c>
      <c r="K14" s="25">
        <f t="shared" si="1"/>
        <v>162993.64000000001</v>
      </c>
    </row>
    <row r="15" spans="1:15" ht="17.25" thickTop="1" thickBot="1" x14ac:dyDescent="0.3">
      <c r="A15" s="12"/>
      <c r="B15" s="70"/>
      <c r="C15" s="12"/>
      <c r="D15" s="12"/>
      <c r="E15" s="12"/>
      <c r="F15" s="12"/>
      <c r="G15" s="12"/>
      <c r="H15" s="13"/>
      <c r="I15" s="11">
        <f>SUM(I11:I14)</f>
        <v>344307.30000000005</v>
      </c>
      <c r="J15" s="6">
        <f>SUM(J11:J14)</f>
        <v>0</v>
      </c>
      <c r="K15" s="10">
        <f>SUM(K11:K14)</f>
        <v>344307.30000000005</v>
      </c>
    </row>
    <row r="16" spans="1:15" ht="22.5" customHeight="1" thickTop="1" x14ac:dyDescent="0.25">
      <c r="A16" s="3"/>
      <c r="B16" s="52"/>
      <c r="C16" s="3"/>
      <c r="D16" s="3"/>
      <c r="E16" s="3"/>
      <c r="F16" s="3"/>
      <c r="G16" s="3"/>
      <c r="H16" s="3"/>
      <c r="I16" s="3"/>
      <c r="J16" s="3"/>
      <c r="K16" s="9"/>
    </row>
    <row r="17" spans="3:11" x14ac:dyDescent="0.25">
      <c r="C17" s="26"/>
      <c r="J17" s="8"/>
    </row>
    <row r="18" spans="3:11" x14ac:dyDescent="0.25">
      <c r="I18" s="8"/>
      <c r="K18" s="8"/>
    </row>
    <row r="23" spans="3:11" x14ac:dyDescent="0.25">
      <c r="C23" s="27"/>
    </row>
  </sheetData>
  <mergeCells count="6">
    <mergeCell ref="A1:K1"/>
    <mergeCell ref="A2:G2"/>
    <mergeCell ref="I2:K2"/>
    <mergeCell ref="E5:J5"/>
    <mergeCell ref="A8:D8"/>
    <mergeCell ref="H8:K8"/>
  </mergeCells>
  <hyperlinks>
    <hyperlink ref="A4" r:id="rId1" display="info@infinityhealth.co.mz"/>
  </hyperlinks>
  <printOptions horizontalCentered="1"/>
  <pageMargins left="0.51181102362204722" right="0.59055118110236227" top="0.74803149606299213" bottom="0.74803149606299213" header="0.31496062992125984" footer="0.31496062992125984"/>
  <pageSetup scale="7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Lote8</vt:lpstr>
      <vt:lpstr>lote7</vt:lpstr>
      <vt:lpstr>Sheet1</vt:lpstr>
      <vt:lpstr>Sheet2</vt:lpstr>
      <vt:lpstr>Nº0016 (3)</vt:lpstr>
      <vt:lpstr>lote7!_Toc68319420</vt:lpstr>
      <vt:lpstr>Lote8!_Toc68319420</vt:lpstr>
      <vt:lpstr>'Nº0016 (3)'!_Toc68319420</vt:lpstr>
      <vt:lpstr>lote7!Print_Area</vt:lpstr>
      <vt:lpstr>Lote8!Print_Area</vt:lpstr>
      <vt:lpstr>'Nº0016 (3)'!Print_Area</vt:lpstr>
      <vt:lpstr>lote7!Print_Titles</vt:lpstr>
      <vt:lpstr>Lote8!Print_Titles</vt:lpstr>
      <vt:lpstr>'Nº0016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Wilson</cp:lastModifiedBy>
  <cp:lastPrinted>2026-08-07T08:23:05Z</cp:lastPrinted>
  <dcterms:created xsi:type="dcterms:W3CDTF">2015-09-18T16:27:18Z</dcterms:created>
  <dcterms:modified xsi:type="dcterms:W3CDTF">2026-09-29T22:37:18Z</dcterms:modified>
</cp:coreProperties>
</file>